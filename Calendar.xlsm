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speen\Documents\Github\excel_calendar\"/>
    </mc:Choice>
  </mc:AlternateContent>
  <xr:revisionPtr revIDLastSave="0" documentId="13_ncr:1_{82DB68F3-F851-42E5-AD28-7348596AC4AF}" xr6:coauthVersionLast="47" xr6:coauthVersionMax="47" xr10:uidLastSave="{00000000-0000-0000-0000-000000000000}"/>
  <bookViews>
    <workbookView xWindow="1170" yWindow="1170" windowWidth="28800" windowHeight="15885" activeTab="2" xr2:uid="{5D1961A9-1E5C-4C4B-B920-F80832BDCD7B}"/>
  </bookViews>
  <sheets>
    <sheet name="Print" sheetId="4" r:id="rId1"/>
    <sheet name="Calendar" sheetId="1" r:id="rId2"/>
    <sheet name="Events" sheetId="2" r:id="rId3"/>
    <sheet name="Support Calendars" sheetId="3" state="hidden" r:id="rId4"/>
  </sheets>
  <definedNames>
    <definedName name="event_name">Calendar!$R$7</definedName>
    <definedName name="Holiday_names">OFFSET(Events!$P$4,0,0,(COUNTIF(Events!$P:$P, "&lt;&gt;")) - 2, 1)</definedName>
    <definedName name="Holidays">OFFSET(Events!$U$4,0,0,(COUNTIF(Events!$U:$U, "&lt;&gt;")) - 1, 1)</definedName>
    <definedName name="Month">Calendar!$D$4</definedName>
    <definedName name="Month_Num">Calendar!$D$5</definedName>
    <definedName name="New_Event">Calendar!$M$7:$S$7</definedName>
    <definedName name="_xlnm.Print_Area" localSheetId="0">Print!$A$1:$J$15</definedName>
    <definedName name="print_month">Print!$P$6</definedName>
    <definedName name="print_type">Print!$O$7</definedName>
    <definedName name="print_year">Print!$O$6</definedName>
    <definedName name="start_date">Calendar!$M$7</definedName>
    <definedName name="Year">Calendar!$F$4</definedName>
    <definedName name="Yearly_Events">annual_events[[#Headers],[Time]]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2" l="1"/>
  <c r="B5" i="2"/>
  <c r="G4" i="2"/>
  <c r="B4" i="2"/>
  <c r="P5" i="4" l="1"/>
  <c r="V2" i="3" s="1"/>
  <c r="Q7" i="1"/>
  <c r="F4" i="1"/>
  <c r="O6" i="4"/>
  <c r="X2" i="3" s="1"/>
  <c r="D5" i="1"/>
  <c r="M2" i="3" s="1"/>
  <c r="P6" i="4" l="1"/>
  <c r="U4" i="3"/>
  <c r="V4" i="3" s="1"/>
  <c r="W4" i="3" s="1"/>
  <c r="X4" i="3" s="1"/>
  <c r="Y4" i="3" s="1"/>
  <c r="Z4" i="3" s="1"/>
  <c r="AA4" i="3" s="1"/>
  <c r="AG2" i="3"/>
  <c r="AE2" i="3"/>
  <c r="F2" i="3"/>
  <c r="T10" i="2"/>
  <c r="R10" i="2" s="1"/>
  <c r="T20" i="2"/>
  <c r="U20" i="2" s="1"/>
  <c r="T22" i="2"/>
  <c r="U22" i="2" s="1"/>
  <c r="T9" i="2"/>
  <c r="R9" i="2" s="1"/>
  <c r="U9" i="2" s="1"/>
  <c r="T21" i="2"/>
  <c r="U21" i="2" s="1"/>
  <c r="T8" i="2"/>
  <c r="R8" i="2" s="1"/>
  <c r="U8" i="2" s="1"/>
  <c r="T24" i="2"/>
  <c r="U24" i="2" s="1"/>
  <c r="T19" i="2"/>
  <c r="U19" i="2" s="1"/>
  <c r="T6" i="2"/>
  <c r="U6" i="2" s="1"/>
  <c r="T17" i="2"/>
  <c r="R17" i="2" s="1"/>
  <c r="T5" i="2"/>
  <c r="R5" i="2" s="1"/>
  <c r="U5" i="2" s="1"/>
  <c r="T11" i="2"/>
  <c r="U11" i="2" s="1"/>
  <c r="T16" i="2"/>
  <c r="U16" i="2" s="1"/>
  <c r="T4" i="2"/>
  <c r="U4" i="2" s="1"/>
  <c r="T13" i="2"/>
  <c r="R13" i="2" s="1"/>
  <c r="U13" i="2" s="1"/>
  <c r="T7" i="2"/>
  <c r="R7" i="2" s="1"/>
  <c r="T15" i="2"/>
  <c r="U15" i="2" s="1"/>
  <c r="T12" i="2"/>
  <c r="U12" i="2" s="1"/>
  <c r="T23" i="2"/>
  <c r="U23" i="2" s="1"/>
  <c r="T14" i="2"/>
  <c r="R14" i="2" s="1"/>
  <c r="O2" i="3"/>
  <c r="D2" i="3"/>
  <c r="AD4" i="3" l="1"/>
  <c r="AD5" i="3" s="1" a="1"/>
  <c r="AD5" i="3" s="1"/>
  <c r="C4" i="3"/>
  <c r="U7" i="2"/>
  <c r="U10" i="2"/>
  <c r="U14" i="2"/>
  <c r="U17" i="2"/>
  <c r="U18" i="2" s="1"/>
  <c r="T18" i="2" s="1"/>
  <c r="L4" i="3"/>
  <c r="L5" i="3" s="1" a="1"/>
  <c r="L5" i="3" s="1"/>
  <c r="AE4" i="3" l="1"/>
  <c r="AE5" i="3" s="1" a="1"/>
  <c r="AE5" i="3" s="1"/>
  <c r="C4" i="4"/>
  <c r="U5" i="3" a="1"/>
  <c r="U5" i="3" s="1"/>
  <c r="C3" i="4" s="1"/>
  <c r="C5" i="3" a="1"/>
  <c r="C5" i="3" s="1"/>
  <c r="C7" i="1" s="1"/>
  <c r="V5" i="3" a="1"/>
  <c r="V5" i="3" s="1"/>
  <c r="D3" i="4" s="1"/>
  <c r="D4" i="3"/>
  <c r="M4" i="3"/>
  <c r="M5" i="3" s="1" a="1"/>
  <c r="M5" i="3" s="1"/>
  <c r="R18" i="2"/>
  <c r="S18" i="2"/>
  <c r="C8" i="1"/>
  <c r="AF4" i="3" l="1"/>
  <c r="AF5" i="3" s="1" a="1"/>
  <c r="AF5" i="3" s="1"/>
  <c r="D4" i="4"/>
  <c r="W5" i="3" a="1"/>
  <c r="W5" i="3" s="1"/>
  <c r="E3" i="4" s="1"/>
  <c r="N4" i="3"/>
  <c r="N5" i="3" s="1" a="1"/>
  <c r="N5" i="3" s="1"/>
  <c r="E4" i="3"/>
  <c r="D5" i="3" a="1"/>
  <c r="D5" i="3" s="1"/>
  <c r="D7" i="1" s="1"/>
  <c r="D8" i="1"/>
  <c r="AG4" i="3" l="1"/>
  <c r="AG5" i="3" s="1" a="1"/>
  <c r="AG5" i="3" s="1"/>
  <c r="E4" i="4"/>
  <c r="X5" i="3" a="1"/>
  <c r="X5" i="3" s="1"/>
  <c r="F3" i="4" s="1"/>
  <c r="F4" i="3"/>
  <c r="E5" i="3" a="1"/>
  <c r="E5" i="3" s="1"/>
  <c r="E7" i="1" s="1"/>
  <c r="O4" i="3"/>
  <c r="O5" i="3" s="1" a="1"/>
  <c r="O5" i="3" s="1"/>
  <c r="E8" i="1"/>
  <c r="AH4" i="3" l="1"/>
  <c r="AH5" i="3" s="1" a="1"/>
  <c r="AH5" i="3" s="1"/>
  <c r="F4" i="4"/>
  <c r="Y5" i="3" a="1"/>
  <c r="Y5" i="3" s="1"/>
  <c r="G3" i="4" s="1"/>
  <c r="F5" i="3" a="1"/>
  <c r="F5" i="3" s="1"/>
  <c r="F7" i="1" s="1"/>
  <c r="G4" i="3"/>
  <c r="P4" i="3"/>
  <c r="P5" i="3" s="1" a="1"/>
  <c r="P5" i="3" s="1"/>
  <c r="F8" i="1"/>
  <c r="AI4" i="3" l="1"/>
  <c r="AI5" i="3" s="1" a="1"/>
  <c r="AI5" i="3" s="1"/>
  <c r="G4" i="4"/>
  <c r="T5" i="3" a="1"/>
  <c r="T5" i="3" s="1"/>
  <c r="Z5" i="3" a="1"/>
  <c r="Z5" i="3" s="1"/>
  <c r="H3" i="4" s="1"/>
  <c r="H4" i="3"/>
  <c r="G5" i="3" a="1"/>
  <c r="G5" i="3" s="1"/>
  <c r="G7" i="1" s="1"/>
  <c r="Q4" i="3"/>
  <c r="Q5" i="3" s="1" a="1"/>
  <c r="Q5" i="3" s="1"/>
  <c r="G8" i="1"/>
  <c r="AJ4" i="3" l="1"/>
  <c r="AJ5" i="3" s="1" a="1"/>
  <c r="AJ5" i="3" s="1"/>
  <c r="H4" i="4"/>
  <c r="U6" i="3"/>
  <c r="AA5" i="3" a="1"/>
  <c r="AA5" i="3" s="1"/>
  <c r="I3" i="4" s="1"/>
  <c r="B4" i="4" s="1" a="1"/>
  <c r="B4" i="4" s="1"/>
  <c r="H5" i="3" a="1"/>
  <c r="H5" i="3" s="1"/>
  <c r="H7" i="1" s="1"/>
  <c r="I4" i="3"/>
  <c r="I5" i="3" s="1" a="1"/>
  <c r="I5" i="3" s="1"/>
  <c r="I7" i="1" s="1"/>
  <c r="R4" i="3"/>
  <c r="R5" i="3" s="1" a="1"/>
  <c r="R5" i="3" s="1"/>
  <c r="H8" i="1"/>
  <c r="AD6" i="3" l="1"/>
  <c r="AD7" i="3" s="1" a="1"/>
  <c r="AD7" i="3" s="1"/>
  <c r="C6" i="4" s="1"/>
  <c r="AC5" i="3" a="1"/>
  <c r="AC5" i="3" s="1"/>
  <c r="I4" i="4"/>
  <c r="B5" i="4" s="1" a="1"/>
  <c r="B5" i="4" s="1"/>
  <c r="I8" i="1"/>
  <c r="B9" i="1" s="1" a="1"/>
  <c r="B9" i="1" s="1"/>
  <c r="B8" i="1" a="1"/>
  <c r="B8" i="1" s="1"/>
  <c r="V6" i="3"/>
  <c r="U7" i="3" a="1"/>
  <c r="U7" i="3" s="1"/>
  <c r="C5" i="4" s="1"/>
  <c r="B5" i="3" a="1"/>
  <c r="B5" i="3" s="1"/>
  <c r="C6" i="3"/>
  <c r="C7" i="3" s="1" a="1"/>
  <c r="C7" i="3" s="1"/>
  <c r="C9" i="1" s="1"/>
  <c r="K5" i="3" a="1"/>
  <c r="K5" i="3" s="1"/>
  <c r="L6" i="3"/>
  <c r="L7" i="3" s="1" a="1"/>
  <c r="L7" i="3" s="1"/>
  <c r="AE6" i="3" l="1"/>
  <c r="AE7" i="3" s="1" a="1"/>
  <c r="AE7" i="3" s="1"/>
  <c r="D6" i="4" s="1"/>
  <c r="W6" i="3"/>
  <c r="V7" i="3" a="1"/>
  <c r="V7" i="3" s="1"/>
  <c r="D5" i="4" s="1"/>
  <c r="D6" i="3"/>
  <c r="D7" i="3" s="1" a="1"/>
  <c r="D7" i="3" s="1"/>
  <c r="D9" i="1" s="1"/>
  <c r="M6" i="3"/>
  <c r="M7" i="3" s="1" a="1"/>
  <c r="M7" i="3" s="1"/>
  <c r="C10" i="1"/>
  <c r="AF6" i="3" l="1"/>
  <c r="AF7" i="3" s="1" a="1"/>
  <c r="AF7" i="3" s="1"/>
  <c r="E6" i="4" s="1"/>
  <c r="W7" i="3" a="1"/>
  <c r="W7" i="3" s="1"/>
  <c r="E5" i="4" s="1"/>
  <c r="X6" i="3"/>
  <c r="E6" i="3"/>
  <c r="N6" i="3"/>
  <c r="N7" i="3" s="1" a="1"/>
  <c r="N7" i="3" s="1"/>
  <c r="D10" i="1"/>
  <c r="AG6" i="3" l="1"/>
  <c r="AG7" i="3" s="1" a="1"/>
  <c r="AG7" i="3" s="1"/>
  <c r="F6" i="4" s="1"/>
  <c r="Y6" i="3"/>
  <c r="X7" i="3" a="1"/>
  <c r="X7" i="3" s="1"/>
  <c r="F5" i="4" s="1"/>
  <c r="E7" i="3" a="1"/>
  <c r="E7" i="3" s="1"/>
  <c r="E9" i="1" s="1"/>
  <c r="F6" i="3"/>
  <c r="O6" i="3"/>
  <c r="O7" i="3" s="1" a="1"/>
  <c r="O7" i="3" s="1"/>
  <c r="E10" i="1"/>
  <c r="AH6" i="3" l="1"/>
  <c r="AH7" i="3" s="1" a="1"/>
  <c r="AH7" i="3" s="1"/>
  <c r="G6" i="4" s="1"/>
  <c r="F7" i="3" a="1"/>
  <c r="F7" i="3" s="1"/>
  <c r="F9" i="1" s="1"/>
  <c r="G6" i="3"/>
  <c r="G7" i="3" s="1" a="1"/>
  <c r="G7" i="3" s="1"/>
  <c r="G9" i="1" s="1"/>
  <c r="F10" i="1"/>
  <c r="Y7" i="3" a="1"/>
  <c r="Y7" i="3" s="1"/>
  <c r="G5" i="4" s="1"/>
  <c r="Z6" i="3"/>
  <c r="P6" i="3"/>
  <c r="P7" i="3" s="1" a="1"/>
  <c r="P7" i="3" s="1"/>
  <c r="AI6" i="3" l="1"/>
  <c r="AI7" i="3" s="1" a="1"/>
  <c r="AI7" i="3" s="1"/>
  <c r="H6" i="4" s="1"/>
  <c r="H6" i="3"/>
  <c r="H7" i="3" s="1" a="1"/>
  <c r="H7" i="3" s="1"/>
  <c r="H9" i="1" s="1"/>
  <c r="AA6" i="3"/>
  <c r="Z7" i="3" a="1"/>
  <c r="Z7" i="3" s="1"/>
  <c r="H5" i="4" s="1"/>
  <c r="G10" i="1"/>
  <c r="Q6" i="3"/>
  <c r="Q7" i="3" s="1" a="1"/>
  <c r="Q7" i="3" s="1"/>
  <c r="AJ6" i="3" l="1"/>
  <c r="AJ7" i="3" s="1" a="1"/>
  <c r="AJ7" i="3" s="1"/>
  <c r="I6" i="4" s="1"/>
  <c r="B7" i="4" s="1" a="1"/>
  <c r="B7" i="4" s="1"/>
  <c r="I6" i="3"/>
  <c r="B7" i="3" s="1" a="1"/>
  <c r="B7" i="3" s="1"/>
  <c r="R6" i="3"/>
  <c r="H10" i="1"/>
  <c r="U8" i="3"/>
  <c r="AA7" i="3" a="1"/>
  <c r="AA7" i="3" s="1"/>
  <c r="I5" i="4" s="1"/>
  <c r="B6" i="4" s="1" a="1"/>
  <c r="B6" i="4" s="1"/>
  <c r="T7" i="3" a="1"/>
  <c r="T7" i="3" s="1"/>
  <c r="AC7" i="3" l="1" a="1"/>
  <c r="AC7" i="3" s="1"/>
  <c r="AD8" i="3"/>
  <c r="AD9" i="3" s="1" a="1"/>
  <c r="AD9" i="3" s="1"/>
  <c r="C8" i="4" s="1"/>
  <c r="R7" i="3" a="1"/>
  <c r="R7" i="3" s="1"/>
  <c r="I10" i="1" s="1"/>
  <c r="B11" i="1" s="1" a="1"/>
  <c r="B11" i="1" s="1"/>
  <c r="I7" i="3" a="1"/>
  <c r="I7" i="3" s="1"/>
  <c r="I9" i="1" s="1"/>
  <c r="B10" i="1" s="1" a="1"/>
  <c r="B10" i="1" s="1"/>
  <c r="C8" i="3"/>
  <c r="C9" i="3" s="1" a="1"/>
  <c r="C9" i="3" s="1"/>
  <c r="C11" i="1" s="1"/>
  <c r="L8" i="3"/>
  <c r="L9" i="3" s="1" a="1"/>
  <c r="L9" i="3" s="1"/>
  <c r="K7" i="3" a="1"/>
  <c r="K7" i="3" s="1"/>
  <c r="U9" i="3" a="1"/>
  <c r="U9" i="3" s="1"/>
  <c r="C7" i="4" s="1"/>
  <c r="V8" i="3"/>
  <c r="AE8" i="3" l="1"/>
  <c r="AE9" i="3" s="1" a="1"/>
  <c r="AE9" i="3" s="1"/>
  <c r="D8" i="4" s="1"/>
  <c r="D8" i="3"/>
  <c r="D9" i="3" s="1" a="1"/>
  <c r="D9" i="3" s="1"/>
  <c r="D11" i="1" s="1"/>
  <c r="C12" i="1"/>
  <c r="M8" i="3"/>
  <c r="M9" i="3" s="1" a="1"/>
  <c r="M9" i="3" s="1"/>
  <c r="W8" i="3"/>
  <c r="V9" i="3" a="1"/>
  <c r="V9" i="3" s="1"/>
  <c r="D7" i="4" s="1"/>
  <c r="AF8" i="3" l="1"/>
  <c r="AF9" i="3" s="1" a="1"/>
  <c r="AF9" i="3" s="1"/>
  <c r="E8" i="4" s="1"/>
  <c r="E8" i="3"/>
  <c r="E9" i="3" s="1" a="1"/>
  <c r="E9" i="3" s="1"/>
  <c r="E11" i="1" s="1"/>
  <c r="N8" i="3"/>
  <c r="N9" i="3" s="1" a="1"/>
  <c r="N9" i="3" s="1"/>
  <c r="D12" i="1"/>
  <c r="X8" i="3"/>
  <c r="W9" i="3" a="1"/>
  <c r="W9" i="3" s="1"/>
  <c r="E7" i="4" s="1"/>
  <c r="AG8" i="3" l="1"/>
  <c r="AG9" i="3" s="1" a="1"/>
  <c r="AG9" i="3" s="1"/>
  <c r="F8" i="4" s="1"/>
  <c r="F8" i="3"/>
  <c r="O8" i="3"/>
  <c r="O9" i="3" s="1" a="1"/>
  <c r="O9" i="3" s="1"/>
  <c r="E12" i="1"/>
  <c r="Y8" i="3"/>
  <c r="X9" i="3" a="1"/>
  <c r="X9" i="3" s="1"/>
  <c r="F7" i="4" s="1"/>
  <c r="F9" i="3" a="1"/>
  <c r="F9" i="3" s="1"/>
  <c r="F11" i="1" s="1"/>
  <c r="AH8" i="3" l="1"/>
  <c r="AH9" i="3" s="1" a="1"/>
  <c r="AH9" i="3" s="1"/>
  <c r="G8" i="4" s="1"/>
  <c r="G8" i="3"/>
  <c r="H8" i="3" s="1"/>
  <c r="P8" i="3"/>
  <c r="F12" i="1"/>
  <c r="Y9" i="3" a="1"/>
  <c r="Y9" i="3" s="1"/>
  <c r="G7" i="4" s="1"/>
  <c r="Z8" i="3"/>
  <c r="G9" i="3" l="1" a="1"/>
  <c r="G9" i="3" s="1"/>
  <c r="G11" i="1" s="1"/>
  <c r="AI8" i="3"/>
  <c r="AI9" i="3" s="1" a="1"/>
  <c r="AI9" i="3" s="1"/>
  <c r="H8" i="4" s="1"/>
  <c r="P9" i="3" a="1"/>
  <c r="P9" i="3" s="1"/>
  <c r="G12" i="1" s="1"/>
  <c r="Q8" i="3"/>
  <c r="Z9" i="3" a="1"/>
  <c r="Z9" i="3" s="1"/>
  <c r="H7" i="4" s="1"/>
  <c r="AA8" i="3"/>
  <c r="T9" i="3" s="1" a="1"/>
  <c r="T9" i="3" s="1"/>
  <c r="I8" i="3"/>
  <c r="H9" i="3" a="1"/>
  <c r="H9" i="3" s="1"/>
  <c r="H11" i="1" s="1"/>
  <c r="AJ8" i="3" l="1"/>
  <c r="AJ9" i="3" s="1" a="1"/>
  <c r="AJ9" i="3" s="1"/>
  <c r="I8" i="4" s="1"/>
  <c r="B9" i="4" s="1" a="1"/>
  <c r="B9" i="4" s="1"/>
  <c r="Q9" i="3" a="1"/>
  <c r="Q9" i="3" s="1"/>
  <c r="H12" i="1" s="1"/>
  <c r="R8" i="3"/>
  <c r="U10" i="3"/>
  <c r="AA9" i="3" a="1"/>
  <c r="AA9" i="3" s="1"/>
  <c r="I7" i="4" s="1"/>
  <c r="B8" i="4" s="1" a="1"/>
  <c r="B8" i="4" s="1"/>
  <c r="C10" i="3"/>
  <c r="I9" i="3" a="1"/>
  <c r="I9" i="3" s="1"/>
  <c r="I11" i="1" s="1"/>
  <c r="B12" i="1" s="1" a="1"/>
  <c r="B12" i="1" s="1"/>
  <c r="B9" i="3" a="1"/>
  <c r="B9" i="3" s="1"/>
  <c r="AC9" i="3" l="1" a="1"/>
  <c r="AC9" i="3" s="1"/>
  <c r="AD10" i="3"/>
  <c r="AD11" i="3" s="1" a="1"/>
  <c r="AD11" i="3" s="1"/>
  <c r="C10" i="4" s="1"/>
  <c r="R9" i="3" a="1"/>
  <c r="R9" i="3" s="1"/>
  <c r="I12" i="1" s="1"/>
  <c r="B13" i="1" s="1" a="1"/>
  <c r="B13" i="1" s="1"/>
  <c r="L10" i="3"/>
  <c r="K9" i="3" a="1"/>
  <c r="K9" i="3" s="1"/>
  <c r="V10" i="3"/>
  <c r="U11" i="3" a="1"/>
  <c r="U11" i="3" s="1"/>
  <c r="C9" i="4" s="1"/>
  <c r="C11" i="3" a="1"/>
  <c r="C11" i="3" s="1"/>
  <c r="C13" i="1" s="1"/>
  <c r="D10" i="3"/>
  <c r="AE10" i="3" l="1"/>
  <c r="AE11" i="3" s="1" a="1"/>
  <c r="AE11" i="3" s="1"/>
  <c r="D10" i="4" s="1"/>
  <c r="L11" i="3" a="1"/>
  <c r="L11" i="3" s="1"/>
  <c r="C14" i="1" s="1"/>
  <c r="M10" i="3"/>
  <c r="W10" i="3"/>
  <c r="V11" i="3" a="1"/>
  <c r="V11" i="3" s="1"/>
  <c r="D9" i="4" s="1"/>
  <c r="E10" i="3"/>
  <c r="D11" i="3" a="1"/>
  <c r="D11" i="3" s="1"/>
  <c r="D13" i="1" s="1"/>
  <c r="AF10" i="3" l="1"/>
  <c r="AF11" i="3" s="1" a="1"/>
  <c r="AF11" i="3" s="1"/>
  <c r="E10" i="4" s="1"/>
  <c r="M11" i="3" a="1"/>
  <c r="M11" i="3" s="1"/>
  <c r="D14" i="1" s="1"/>
  <c r="N10" i="3"/>
  <c r="X10" i="3"/>
  <c r="W11" i="3" a="1"/>
  <c r="W11" i="3" s="1"/>
  <c r="E9" i="4" s="1"/>
  <c r="F10" i="3"/>
  <c r="E11" i="3" a="1"/>
  <c r="E11" i="3" s="1"/>
  <c r="E13" i="1" s="1"/>
  <c r="AG10" i="3" l="1"/>
  <c r="AG11" i="3" s="1" a="1"/>
  <c r="AG11" i="3" s="1"/>
  <c r="F10" i="4" s="1"/>
  <c r="N11" i="3" a="1"/>
  <c r="N11" i="3" s="1"/>
  <c r="E14" i="1" s="1"/>
  <c r="O10" i="3"/>
  <c r="Y10" i="3"/>
  <c r="X11" i="3" a="1"/>
  <c r="X11" i="3" s="1"/>
  <c r="F9" i="4" s="1"/>
  <c r="G10" i="3"/>
  <c r="F11" i="3" a="1"/>
  <c r="F11" i="3" s="1"/>
  <c r="F13" i="1" s="1"/>
  <c r="AH10" i="3" l="1"/>
  <c r="AH11" i="3" s="1" a="1"/>
  <c r="AH11" i="3" s="1"/>
  <c r="G10" i="4" s="1"/>
  <c r="O11" i="3" a="1"/>
  <c r="O11" i="3" s="1"/>
  <c r="F14" i="1" s="1"/>
  <c r="P10" i="3"/>
  <c r="Y11" i="3" a="1"/>
  <c r="Y11" i="3" s="1"/>
  <c r="G9" i="4" s="1"/>
  <c r="Z10" i="3"/>
  <c r="H10" i="3"/>
  <c r="G11" i="3" a="1"/>
  <c r="G11" i="3" s="1"/>
  <c r="G13" i="1" s="1"/>
  <c r="AI10" i="3" l="1"/>
  <c r="AI11" i="3" s="1" a="1"/>
  <c r="AI11" i="3" s="1"/>
  <c r="H10" i="4" s="1"/>
  <c r="Q10" i="3"/>
  <c r="Q11" i="3" s="1" a="1"/>
  <c r="Q11" i="3" s="1"/>
  <c r="H14" i="1" s="1"/>
  <c r="P11" i="3" a="1"/>
  <c r="P11" i="3" s="1"/>
  <c r="G14" i="1" s="1"/>
  <c r="Z11" i="3" a="1"/>
  <c r="Z11" i="3" s="1"/>
  <c r="H9" i="4" s="1"/>
  <c r="AA10" i="3"/>
  <c r="T11" i="3" s="1" a="1"/>
  <c r="T11" i="3" s="1"/>
  <c r="I10" i="3"/>
  <c r="H11" i="3" a="1"/>
  <c r="H11" i="3" s="1"/>
  <c r="H13" i="1" s="1"/>
  <c r="AJ10" i="3" l="1"/>
  <c r="AJ11" i="3" s="1" a="1"/>
  <c r="AJ11" i="3" s="1"/>
  <c r="I10" i="4" s="1"/>
  <c r="B11" i="4" s="1" a="1"/>
  <c r="B11" i="4" s="1"/>
  <c r="R10" i="3"/>
  <c r="R11" i="3" s="1" a="1"/>
  <c r="R11" i="3" s="1"/>
  <c r="I14" i="1" s="1"/>
  <c r="B15" i="1" s="1" a="1"/>
  <c r="B15" i="1" s="1"/>
  <c r="AA11" i="3" a="1"/>
  <c r="AA11" i="3" s="1"/>
  <c r="I9" i="4" s="1"/>
  <c r="B10" i="4" s="1" a="1"/>
  <c r="B10" i="4" s="1"/>
  <c r="U12" i="3"/>
  <c r="C12" i="3"/>
  <c r="I11" i="3" a="1"/>
  <c r="I11" i="3" s="1"/>
  <c r="I13" i="1" s="1"/>
  <c r="B14" i="1" s="1" a="1"/>
  <c r="B14" i="1" s="1"/>
  <c r="B11" i="3" a="1"/>
  <c r="B11" i="3" s="1"/>
  <c r="AC11" i="3" l="1" a="1"/>
  <c r="AC11" i="3" s="1"/>
  <c r="AD12" i="3"/>
  <c r="AD13" i="3" s="1" a="1"/>
  <c r="AD13" i="3" s="1"/>
  <c r="C12" i="4" s="1"/>
  <c r="L12" i="3"/>
  <c r="L13" i="3" s="1" a="1"/>
  <c r="L13" i="3" s="1"/>
  <c r="C16" i="1" s="1"/>
  <c r="K11" i="3" a="1"/>
  <c r="K11" i="3" s="1"/>
  <c r="U13" i="3" a="1"/>
  <c r="U13" i="3" s="1"/>
  <c r="C11" i="4" s="1"/>
  <c r="V12" i="3"/>
  <c r="C13" i="3" a="1"/>
  <c r="C13" i="3" s="1"/>
  <c r="C15" i="1" s="1"/>
  <c r="D12" i="3"/>
  <c r="AE12" i="3" l="1"/>
  <c r="AE13" i="3" s="1" a="1"/>
  <c r="AE13" i="3" s="1"/>
  <c r="D12" i="4" s="1"/>
  <c r="M12" i="3"/>
  <c r="M13" i="3" s="1" a="1"/>
  <c r="M13" i="3" s="1"/>
  <c r="D16" i="1" s="1"/>
  <c r="W12" i="3"/>
  <c r="V13" i="3" a="1"/>
  <c r="V13" i="3" s="1"/>
  <c r="D11" i="4" s="1"/>
  <c r="E12" i="3"/>
  <c r="D13" i="3" a="1"/>
  <c r="D13" i="3" s="1"/>
  <c r="D15" i="1" s="1"/>
  <c r="AF12" i="3" l="1"/>
  <c r="AF13" i="3" s="1" a="1"/>
  <c r="AF13" i="3" s="1"/>
  <c r="E12" i="4" s="1"/>
  <c r="N12" i="3"/>
  <c r="N13" i="3" s="1" a="1"/>
  <c r="N13" i="3" s="1"/>
  <c r="E16" i="1" s="1"/>
  <c r="AG12" i="3"/>
  <c r="AG13" i="3" s="1" a="1"/>
  <c r="AG13" i="3" s="1"/>
  <c r="X12" i="3"/>
  <c r="W13" i="3" a="1"/>
  <c r="W13" i="3" s="1"/>
  <c r="E11" i="4" s="1"/>
  <c r="F12" i="3"/>
  <c r="E13" i="3" a="1"/>
  <c r="E13" i="3" s="1"/>
  <c r="E15" i="1" s="1"/>
  <c r="O12" i="3" l="1"/>
  <c r="O13" i="3" s="1" a="1"/>
  <c r="O13" i="3" s="1"/>
  <c r="F16" i="1" s="1"/>
  <c r="AH12" i="3"/>
  <c r="AH13" i="3" s="1" a="1"/>
  <c r="AH13" i="3" s="1"/>
  <c r="F12" i="4"/>
  <c r="Y12" i="3"/>
  <c r="X13" i="3" a="1"/>
  <c r="X13" i="3" s="1"/>
  <c r="F11" i="4" s="1"/>
  <c r="G12" i="3"/>
  <c r="F13" i="3" a="1"/>
  <c r="F13" i="3" s="1"/>
  <c r="F15" i="1" s="1"/>
  <c r="P12" i="3" l="1"/>
  <c r="P13" i="3" s="1" a="1"/>
  <c r="P13" i="3" s="1"/>
  <c r="G16" i="1" s="1"/>
  <c r="G12" i="4"/>
  <c r="AI12" i="3"/>
  <c r="AI13" i="3" s="1" a="1"/>
  <c r="AI13" i="3" s="1"/>
  <c r="Y13" i="3" a="1"/>
  <c r="Y13" i="3" s="1"/>
  <c r="G11" i="4" s="1"/>
  <c r="Z12" i="3"/>
  <c r="H12" i="3"/>
  <c r="G13" i="3" a="1"/>
  <c r="G13" i="3" s="1"/>
  <c r="G15" i="1" s="1"/>
  <c r="Q12" i="3" l="1"/>
  <c r="Q13" i="3" s="1" a="1"/>
  <c r="Q13" i="3" s="1"/>
  <c r="H16" i="1" s="1"/>
  <c r="H12" i="4"/>
  <c r="AJ12" i="3"/>
  <c r="Z13" i="3" a="1"/>
  <c r="Z13" i="3" s="1"/>
  <c r="H11" i="4" s="1"/>
  <c r="AA12" i="3"/>
  <c r="I12" i="3"/>
  <c r="H13" i="3" a="1"/>
  <c r="H13" i="3" s="1"/>
  <c r="H15" i="1" s="1"/>
  <c r="R12" i="3" l="1"/>
  <c r="R13" i="3" s="1" a="1"/>
  <c r="R13" i="3" s="1"/>
  <c r="I16" i="1" s="1"/>
  <c r="B17" i="1" s="1" a="1"/>
  <c r="B17" i="1" s="1"/>
  <c r="AC13" i="3" a="1"/>
  <c r="AC13" i="3" s="1"/>
  <c r="AJ13" i="3" a="1"/>
  <c r="AJ13" i="3" s="1"/>
  <c r="I12" i="4" s="1"/>
  <c r="B13" i="4" s="1" a="1"/>
  <c r="B13" i="4" s="1"/>
  <c r="AD14" i="3"/>
  <c r="AD15" i="3" s="1" a="1"/>
  <c r="AD15" i="3" s="1"/>
  <c r="AA13" i="3" a="1"/>
  <c r="AA13" i="3" s="1"/>
  <c r="I11" i="4" s="1"/>
  <c r="B12" i="4" s="1" a="1"/>
  <c r="B12" i="4" s="1"/>
  <c r="U14" i="3"/>
  <c r="T13" i="3" a="1"/>
  <c r="T13" i="3" s="1"/>
  <c r="C14" i="3"/>
  <c r="I13" i="3" a="1"/>
  <c r="I13" i="3" s="1"/>
  <c r="I15" i="1" s="1"/>
  <c r="B16" i="1" s="1" a="1"/>
  <c r="B16" i="1" s="1"/>
  <c r="B13" i="3" a="1"/>
  <c r="B13" i="3" s="1"/>
  <c r="K13" i="3" l="1" a="1"/>
  <c r="K13" i="3" s="1"/>
  <c r="L14" i="3"/>
  <c r="L15" i="3" s="1" a="1"/>
  <c r="L15" i="3" s="1"/>
  <c r="C18" i="1" s="1"/>
  <c r="C14" i="4"/>
  <c r="AE14" i="3"/>
  <c r="AE15" i="3" s="1" a="1"/>
  <c r="AE15" i="3" s="1"/>
  <c r="U15" i="3" a="1"/>
  <c r="U15" i="3" s="1"/>
  <c r="C13" i="4" s="1"/>
  <c r="V14" i="3"/>
  <c r="C15" i="3" a="1"/>
  <c r="C15" i="3" s="1"/>
  <c r="C17" i="1" s="1"/>
  <c r="D14" i="3"/>
  <c r="M14" i="3" l="1"/>
  <c r="M15" i="3" s="1" a="1"/>
  <c r="M15" i="3" s="1"/>
  <c r="D18" i="1" s="1"/>
  <c r="AF14" i="3"/>
  <c r="AF15" i="3" s="1" a="1"/>
  <c r="AF15" i="3" s="1"/>
  <c r="D14" i="4"/>
  <c r="V15" i="3" a="1"/>
  <c r="V15" i="3" s="1"/>
  <c r="D13" i="4" s="1"/>
  <c r="W14" i="3"/>
  <c r="E14" i="3"/>
  <c r="D15" i="3" a="1"/>
  <c r="D15" i="3" s="1"/>
  <c r="D17" i="1" s="1"/>
  <c r="N14" i="3" l="1"/>
  <c r="N15" i="3" s="1" a="1"/>
  <c r="N15" i="3" s="1"/>
  <c r="E18" i="1" s="1"/>
  <c r="AG14" i="3"/>
  <c r="AG15" i="3" s="1" a="1"/>
  <c r="AG15" i="3" s="1"/>
  <c r="E14" i="4"/>
  <c r="X14" i="3"/>
  <c r="W15" i="3" a="1"/>
  <c r="W15" i="3" s="1"/>
  <c r="E13" i="4" s="1"/>
  <c r="F14" i="3"/>
  <c r="E15" i="3" a="1"/>
  <c r="E15" i="3" s="1"/>
  <c r="E17" i="1" s="1"/>
  <c r="O14" i="3" l="1"/>
  <c r="O15" i="3" s="1" a="1"/>
  <c r="O15" i="3" s="1"/>
  <c r="F18" i="1" s="1"/>
  <c r="AH14" i="3"/>
  <c r="AH15" i="3" s="1" a="1"/>
  <c r="AH15" i="3" s="1"/>
  <c r="F14" i="4"/>
  <c r="Y14" i="3"/>
  <c r="X15" i="3" a="1"/>
  <c r="X15" i="3" s="1"/>
  <c r="F13" i="4" s="1"/>
  <c r="G14" i="3"/>
  <c r="F15" i="3" a="1"/>
  <c r="F15" i="3" s="1"/>
  <c r="F17" i="1" s="1"/>
  <c r="P14" i="3" l="1"/>
  <c r="P15" i="3" s="1" a="1"/>
  <c r="P15" i="3" s="1"/>
  <c r="G18" i="1" s="1"/>
  <c r="G14" i="4"/>
  <c r="AI14" i="3"/>
  <c r="AI15" i="3" s="1" a="1"/>
  <c r="AI15" i="3" s="1"/>
  <c r="Y15" i="3" a="1"/>
  <c r="Y15" i="3" s="1"/>
  <c r="G13" i="4" s="1"/>
  <c r="Z14" i="3"/>
  <c r="H14" i="3"/>
  <c r="G15" i="3" a="1"/>
  <c r="G15" i="3" s="1"/>
  <c r="G17" i="1" s="1"/>
  <c r="Q14" i="3" l="1"/>
  <c r="Q15" i="3" s="1" a="1"/>
  <c r="Q15" i="3" s="1"/>
  <c r="H18" i="1" s="1"/>
  <c r="H14" i="4"/>
  <c r="AJ14" i="3"/>
  <c r="AJ15" i="3" s="1" a="1"/>
  <c r="AJ15" i="3" s="1"/>
  <c r="Z15" i="3" a="1"/>
  <c r="Z15" i="3" s="1"/>
  <c r="H13" i="4" s="1"/>
  <c r="AA14" i="3"/>
  <c r="AA15" i="3" s="1" a="1"/>
  <c r="AA15" i="3" s="1"/>
  <c r="I13" i="4" s="1"/>
  <c r="I14" i="3"/>
  <c r="H15" i="3" a="1"/>
  <c r="H15" i="3" s="1"/>
  <c r="H17" i="1" s="1"/>
  <c r="R14" i="3" l="1"/>
  <c r="R15" i="3" a="1"/>
  <c r="R15" i="3" s="1"/>
  <c r="I18" i="1" s="1"/>
  <c r="B19" i="1" s="1" a="1"/>
  <c r="B19" i="1" s="1"/>
  <c r="T15" i="3" a="1"/>
  <c r="T15" i="3" s="1"/>
  <c r="L16" i="3"/>
  <c r="K15" i="3" a="1"/>
  <c r="K15" i="3" s="1"/>
  <c r="B14" i="4" a="1"/>
  <c r="B14" i="4" s="1"/>
  <c r="I14" i="4"/>
  <c r="AC15" i="3" a="1"/>
  <c r="AC15" i="3" s="1"/>
  <c r="C16" i="3"/>
  <c r="I15" i="3" a="1"/>
  <c r="I15" i="3" s="1"/>
  <c r="I17" i="1" s="1"/>
  <c r="B18" i="1" s="1" a="1"/>
  <c r="B18" i="1" s="1"/>
  <c r="B15" i="3" a="1"/>
  <c r="B15" i="3" s="1"/>
  <c r="L17" i="3" l="1" a="1"/>
  <c r="L17" i="3" s="1"/>
  <c r="C20" i="1" s="1"/>
  <c r="M16" i="3"/>
  <c r="C17" i="3" a="1"/>
  <c r="C17" i="3" s="1"/>
  <c r="C19" i="1" s="1"/>
  <c r="D16" i="3"/>
  <c r="M17" i="3" l="1" a="1"/>
  <c r="M17" i="3" s="1"/>
  <c r="D20" i="1" s="1"/>
  <c r="N16" i="3"/>
  <c r="E16" i="3"/>
  <c r="D17" i="3" a="1"/>
  <c r="D17" i="3" s="1"/>
  <c r="D19" i="1" s="1"/>
  <c r="N17" i="3" l="1" a="1"/>
  <c r="N17" i="3" s="1"/>
  <c r="E20" i="1" s="1"/>
  <c r="O16" i="3"/>
  <c r="F16" i="3"/>
  <c r="E17" i="3" a="1"/>
  <c r="E17" i="3" s="1"/>
  <c r="E19" i="1" s="1"/>
  <c r="O17" i="3" l="1" a="1"/>
  <c r="O17" i="3" s="1"/>
  <c r="F20" i="1" s="1"/>
  <c r="P16" i="3"/>
  <c r="G16" i="3"/>
  <c r="F17" i="3" a="1"/>
  <c r="F17" i="3" s="1"/>
  <c r="F19" i="1" s="1"/>
  <c r="P17" i="3" l="1" a="1"/>
  <c r="P17" i="3" s="1"/>
  <c r="G20" i="1" s="1"/>
  <c r="Q16" i="3"/>
  <c r="H16" i="3"/>
  <c r="G17" i="3" a="1"/>
  <c r="G17" i="3" s="1"/>
  <c r="G19" i="1" s="1"/>
  <c r="Q17" i="3" l="1" a="1"/>
  <c r="Q17" i="3" s="1"/>
  <c r="H20" i="1" s="1"/>
  <c r="R16" i="3"/>
  <c r="I16" i="3"/>
  <c r="H17" i="3" a="1"/>
  <c r="H17" i="3" s="1"/>
  <c r="H19" i="1" s="1"/>
  <c r="R17" i="3" l="1" a="1"/>
  <c r="R17" i="3" s="1"/>
  <c r="I20" i="1" s="1"/>
  <c r="B21" i="1" s="1" a="1"/>
  <c r="B21" i="1" s="1"/>
  <c r="K17" i="3" a="1"/>
  <c r="K17" i="3" s="1"/>
  <c r="L18" i="3"/>
  <c r="C18" i="3"/>
  <c r="I17" i="3" a="1"/>
  <c r="I17" i="3" s="1"/>
  <c r="I19" i="1" s="1"/>
  <c r="B20" i="1" s="1" a="1"/>
  <c r="B20" i="1" s="1"/>
  <c r="B17" i="3" a="1"/>
  <c r="B17" i="3" s="1"/>
  <c r="L19" i="3" l="1" a="1"/>
  <c r="L19" i="3" s="1"/>
  <c r="C22" i="1" s="1"/>
  <c r="M18" i="3"/>
  <c r="C19" i="3" a="1"/>
  <c r="C19" i="3" s="1"/>
  <c r="C21" i="1" s="1"/>
  <c r="D18" i="3"/>
  <c r="M19" i="3" l="1" a="1"/>
  <c r="M19" i="3" s="1"/>
  <c r="D22" i="1" s="1"/>
  <c r="N18" i="3"/>
  <c r="O18" i="3" s="1"/>
  <c r="E18" i="3"/>
  <c r="D19" i="3" a="1"/>
  <c r="D19" i="3" s="1"/>
  <c r="D21" i="1" s="1"/>
  <c r="O19" i="3" l="1" a="1"/>
  <c r="O19" i="3" s="1"/>
  <c r="F22" i="1" s="1"/>
  <c r="N19" i="3" a="1"/>
  <c r="N19" i="3" s="1"/>
  <c r="E22" i="1" s="1"/>
  <c r="P18" i="3"/>
  <c r="F18" i="3"/>
  <c r="E19" i="3" a="1"/>
  <c r="E19" i="3" s="1"/>
  <c r="E21" i="1" s="1"/>
  <c r="P19" i="3" l="1" a="1"/>
  <c r="P19" i="3" s="1"/>
  <c r="G22" i="1" s="1"/>
  <c r="Q18" i="3"/>
  <c r="G18" i="3"/>
  <c r="F19" i="3" a="1"/>
  <c r="F19" i="3" s="1"/>
  <c r="F21" i="1" s="1"/>
  <c r="Q19" i="3" l="1" a="1"/>
  <c r="Q19" i="3" s="1"/>
  <c r="H22" i="1" s="1"/>
  <c r="R18" i="3"/>
  <c r="H18" i="3"/>
  <c r="G19" i="3" a="1"/>
  <c r="G19" i="3" s="1"/>
  <c r="G21" i="1" s="1"/>
  <c r="R19" i="3" l="1" a="1"/>
  <c r="R19" i="3" s="1"/>
  <c r="I22" i="1" s="1"/>
  <c r="B23" i="1" s="1" a="1"/>
  <c r="B23" i="1" s="1"/>
  <c r="L20" i="3"/>
  <c r="K19" i="3" a="1"/>
  <c r="K19" i="3" s="1"/>
  <c r="I18" i="3"/>
  <c r="H19" i="3" a="1"/>
  <c r="H19" i="3" s="1"/>
  <c r="H21" i="1" s="1"/>
  <c r="L21" i="3" l="1" a="1"/>
  <c r="L21" i="3" s="1"/>
  <c r="C24" i="1" s="1"/>
  <c r="M20" i="3"/>
  <c r="C20" i="3"/>
  <c r="I19" i="3" a="1"/>
  <c r="I19" i="3" s="1"/>
  <c r="I21" i="1" s="1"/>
  <c r="B22" i="1" s="1" a="1"/>
  <c r="B22" i="1" s="1"/>
  <c r="B19" i="3" a="1"/>
  <c r="B19" i="3" s="1"/>
  <c r="M21" i="3" l="1" a="1"/>
  <c r="M21" i="3" s="1"/>
  <c r="D24" i="1" s="1"/>
  <c r="N20" i="3"/>
  <c r="C21" i="3" a="1"/>
  <c r="C21" i="3" s="1"/>
  <c r="C23" i="1" s="1"/>
  <c r="D20" i="3"/>
  <c r="N21" i="3" l="1" a="1"/>
  <c r="N21" i="3" s="1"/>
  <c r="E24" i="1" s="1"/>
  <c r="O20" i="3"/>
  <c r="E20" i="3"/>
  <c r="D21" i="3" a="1"/>
  <c r="D21" i="3" s="1"/>
  <c r="D23" i="1" s="1"/>
  <c r="O21" i="3" l="1" a="1"/>
  <c r="O21" i="3" s="1"/>
  <c r="F24" i="1" s="1"/>
  <c r="P20" i="3"/>
  <c r="F20" i="3"/>
  <c r="E21" i="3" a="1"/>
  <c r="E21" i="3" s="1"/>
  <c r="E23" i="1" s="1"/>
  <c r="P21" i="3" l="1" a="1"/>
  <c r="P21" i="3" s="1"/>
  <c r="G24" i="1" s="1"/>
  <c r="Q20" i="3"/>
  <c r="G20" i="3"/>
  <c r="F21" i="3" a="1"/>
  <c r="F21" i="3" s="1"/>
  <c r="F23" i="1" s="1"/>
  <c r="Q21" i="3" l="1" a="1"/>
  <c r="Q21" i="3" s="1"/>
  <c r="H24" i="1" s="1"/>
  <c r="R20" i="3"/>
  <c r="H20" i="3"/>
  <c r="G21" i="3" a="1"/>
  <c r="G21" i="3" s="1"/>
  <c r="G23" i="1" s="1"/>
  <c r="R21" i="3" l="1" a="1"/>
  <c r="R21" i="3" s="1"/>
  <c r="I24" i="1" s="1"/>
  <c r="B25" i="1" s="1" a="1"/>
  <c r="B25" i="1" s="1"/>
  <c r="K21" i="3" a="1"/>
  <c r="K21" i="3" s="1"/>
  <c r="L22" i="3"/>
  <c r="I20" i="3"/>
  <c r="H21" i="3" a="1"/>
  <c r="H21" i="3" s="1"/>
  <c r="H23" i="1" s="1"/>
  <c r="L23" i="3" l="1" a="1"/>
  <c r="L23" i="3" s="1"/>
  <c r="C26" i="1" s="1"/>
  <c r="M22" i="3"/>
  <c r="C22" i="3"/>
  <c r="I21" i="3" a="1"/>
  <c r="I21" i="3" s="1"/>
  <c r="I23" i="1" s="1"/>
  <c r="B24" i="1" s="1" a="1"/>
  <c r="B24" i="1" s="1"/>
  <c r="B21" i="3" a="1"/>
  <c r="B21" i="3" s="1"/>
  <c r="M23" i="3" l="1" a="1"/>
  <c r="M23" i="3" s="1"/>
  <c r="D26" i="1" s="1"/>
  <c r="N22" i="3"/>
  <c r="C23" i="3" a="1"/>
  <c r="C23" i="3" s="1"/>
  <c r="C25" i="1" s="1"/>
  <c r="D22" i="3"/>
  <c r="N23" i="3" l="1" a="1"/>
  <c r="N23" i="3" s="1"/>
  <c r="E26" i="1" s="1"/>
  <c r="O22" i="3"/>
  <c r="E22" i="3"/>
  <c r="D23" i="3" a="1"/>
  <c r="D23" i="3" s="1"/>
  <c r="D25" i="1" s="1"/>
  <c r="O23" i="3" l="1" a="1"/>
  <c r="O23" i="3" s="1"/>
  <c r="F26" i="1" s="1"/>
  <c r="P22" i="3"/>
  <c r="F22" i="3"/>
  <c r="E23" i="3" a="1"/>
  <c r="E23" i="3" s="1"/>
  <c r="E25" i="1" s="1"/>
  <c r="P23" i="3" l="1" a="1"/>
  <c r="P23" i="3" s="1"/>
  <c r="G26" i="1" s="1"/>
  <c r="Q22" i="3"/>
  <c r="G22" i="3"/>
  <c r="F23" i="3" a="1"/>
  <c r="F23" i="3" s="1"/>
  <c r="F25" i="1" s="1"/>
  <c r="Q23" i="3" l="1" a="1"/>
  <c r="Q23" i="3" s="1"/>
  <c r="H26" i="1" s="1"/>
  <c r="R22" i="3"/>
  <c r="H22" i="3"/>
  <c r="G23" i="3" a="1"/>
  <c r="G23" i="3" s="1"/>
  <c r="G25" i="1" s="1"/>
  <c r="R23" i="3" l="1" a="1"/>
  <c r="R23" i="3" s="1"/>
  <c r="I26" i="1" s="1"/>
  <c r="B27" i="1" s="1" a="1"/>
  <c r="B27" i="1" s="1"/>
  <c r="K23" i="3" a="1"/>
  <c r="K23" i="3" s="1"/>
  <c r="L24" i="3"/>
  <c r="I22" i="3"/>
  <c r="H23" i="3" a="1"/>
  <c r="H23" i="3" s="1"/>
  <c r="H25" i="1" s="1"/>
  <c r="L25" i="3" l="1" a="1"/>
  <c r="L25" i="3" s="1"/>
  <c r="C28" i="1" s="1"/>
  <c r="M24" i="3"/>
  <c r="C24" i="3"/>
  <c r="I23" i="3" a="1"/>
  <c r="I23" i="3" s="1"/>
  <c r="I25" i="1" s="1"/>
  <c r="B26" i="1" s="1" a="1"/>
  <c r="B26" i="1" s="1"/>
  <c r="B23" i="3" a="1"/>
  <c r="B23" i="3" s="1"/>
  <c r="M25" i="3" l="1" a="1"/>
  <c r="M25" i="3" s="1"/>
  <c r="D28" i="1" s="1"/>
  <c r="N24" i="3"/>
  <c r="C25" i="3" a="1"/>
  <c r="C25" i="3" s="1"/>
  <c r="C27" i="1" s="1"/>
  <c r="D24" i="3"/>
  <c r="N25" i="3" l="1" a="1"/>
  <c r="N25" i="3" s="1"/>
  <c r="E28" i="1" s="1"/>
  <c r="O24" i="3"/>
  <c r="E24" i="3"/>
  <c r="D25" i="3" a="1"/>
  <c r="D25" i="3" s="1"/>
  <c r="D27" i="1" s="1"/>
  <c r="O25" i="3" l="1" a="1"/>
  <c r="O25" i="3" s="1"/>
  <c r="F28" i="1" s="1"/>
  <c r="P24" i="3"/>
  <c r="F24" i="3"/>
  <c r="E25" i="3" a="1"/>
  <c r="E25" i="3" s="1"/>
  <c r="E27" i="1" s="1"/>
  <c r="P25" i="3" l="1" a="1"/>
  <c r="P25" i="3" s="1"/>
  <c r="G28" i="1" s="1"/>
  <c r="Q24" i="3"/>
  <c r="G24" i="3"/>
  <c r="F25" i="3" a="1"/>
  <c r="F25" i="3" s="1"/>
  <c r="F27" i="1" s="1"/>
  <c r="Q25" i="3" l="1" a="1"/>
  <c r="Q25" i="3" s="1"/>
  <c r="H28" i="1" s="1"/>
  <c r="R24" i="3"/>
  <c r="H24" i="3"/>
  <c r="G25" i="3" a="1"/>
  <c r="G25" i="3" s="1"/>
  <c r="G27" i="1" s="1"/>
  <c r="R25" i="3" l="1" a="1"/>
  <c r="R25" i="3" s="1"/>
  <c r="I28" i="1" s="1"/>
  <c r="B29" i="1" s="1" a="1"/>
  <c r="B29" i="1" s="1"/>
  <c r="K25" i="3" a="1"/>
  <c r="K25" i="3" s="1"/>
  <c r="L26" i="3"/>
  <c r="I24" i="3"/>
  <c r="H25" i="3" a="1"/>
  <c r="H25" i="3" s="1"/>
  <c r="H27" i="1" s="1"/>
  <c r="L27" i="3" l="1" a="1"/>
  <c r="L27" i="3" s="1"/>
  <c r="C30" i="1" s="1"/>
  <c r="M26" i="3"/>
  <c r="C26" i="3"/>
  <c r="I25" i="3" a="1"/>
  <c r="I25" i="3" s="1"/>
  <c r="I27" i="1" s="1"/>
  <c r="B28" i="1" s="1" a="1"/>
  <c r="B28" i="1" s="1"/>
  <c r="B25" i="3" a="1"/>
  <c r="B25" i="3" s="1"/>
  <c r="M27" i="3" l="1" a="1"/>
  <c r="M27" i="3" s="1"/>
  <c r="D30" i="1" s="1"/>
  <c r="N26" i="3"/>
  <c r="C27" i="3" a="1"/>
  <c r="C27" i="3" s="1"/>
  <c r="C29" i="1" s="1"/>
  <c r="D26" i="3"/>
  <c r="N27" i="3" l="1" a="1"/>
  <c r="N27" i="3" s="1"/>
  <c r="E30" i="1" s="1"/>
  <c r="O26" i="3"/>
  <c r="E26" i="3"/>
  <c r="D27" i="3" a="1"/>
  <c r="D27" i="3" s="1"/>
  <c r="D29" i="1" s="1"/>
  <c r="O27" i="3" l="1" a="1"/>
  <c r="O27" i="3" s="1"/>
  <c r="F30" i="1" s="1"/>
  <c r="P26" i="3"/>
  <c r="F26" i="3"/>
  <c r="E27" i="3" a="1"/>
  <c r="E27" i="3" s="1"/>
  <c r="E29" i="1" s="1"/>
  <c r="P27" i="3" l="1" a="1"/>
  <c r="P27" i="3" s="1"/>
  <c r="G30" i="1" s="1"/>
  <c r="Q26" i="3"/>
  <c r="G26" i="3"/>
  <c r="F27" i="3" a="1"/>
  <c r="F27" i="3" s="1"/>
  <c r="F29" i="1" s="1"/>
  <c r="Q27" i="3" l="1" a="1"/>
  <c r="Q27" i="3" s="1"/>
  <c r="H30" i="1" s="1"/>
  <c r="R26" i="3"/>
  <c r="H26" i="3"/>
  <c r="G27" i="3" a="1"/>
  <c r="G27" i="3" s="1"/>
  <c r="G29" i="1" s="1"/>
  <c r="R27" i="3" l="1" a="1"/>
  <c r="R27" i="3" s="1"/>
  <c r="I30" i="1" s="1"/>
  <c r="B31" i="1" s="1" a="1"/>
  <c r="B31" i="1" s="1"/>
  <c r="K27" i="3" a="1"/>
  <c r="K27" i="3" s="1"/>
  <c r="L28" i="3"/>
  <c r="I26" i="3"/>
  <c r="B27" i="3" s="1" a="1"/>
  <c r="B27" i="3" s="1"/>
  <c r="H27" i="3" a="1"/>
  <c r="H27" i="3" s="1"/>
  <c r="H29" i="1" s="1"/>
  <c r="L29" i="3" l="1" a="1"/>
  <c r="L29" i="3" s="1"/>
  <c r="C32" i="1" s="1"/>
  <c r="M28" i="3"/>
  <c r="C28" i="3"/>
  <c r="I27" i="3" a="1"/>
  <c r="I27" i="3" s="1"/>
  <c r="I29" i="1" s="1"/>
  <c r="B30" i="1" s="1" a="1"/>
  <c r="B30" i="1" s="1"/>
  <c r="M29" i="3" l="1" a="1"/>
  <c r="M29" i="3" s="1"/>
  <c r="D32" i="1" s="1"/>
  <c r="N28" i="3"/>
  <c r="C29" i="3" a="1"/>
  <c r="C29" i="3" s="1"/>
  <c r="C31" i="1" s="1"/>
  <c r="D28" i="3"/>
  <c r="N29" i="3" l="1" a="1"/>
  <c r="N29" i="3" s="1"/>
  <c r="E32" i="1" s="1"/>
  <c r="O28" i="3"/>
  <c r="E28" i="3"/>
  <c r="D29" i="3" a="1"/>
  <c r="D29" i="3" s="1"/>
  <c r="D31" i="1" s="1"/>
  <c r="O29" i="3" l="1" a="1"/>
  <c r="O29" i="3" s="1"/>
  <c r="F32" i="1" s="1"/>
  <c r="P28" i="3"/>
  <c r="F28" i="3"/>
  <c r="E29" i="3" a="1"/>
  <c r="E29" i="3" s="1"/>
  <c r="E31" i="1" s="1"/>
  <c r="P29" i="3" l="1" a="1"/>
  <c r="P29" i="3" s="1"/>
  <c r="G32" i="1" s="1"/>
  <c r="Q28" i="3"/>
  <c r="G28" i="3"/>
  <c r="F29" i="3" a="1"/>
  <c r="F29" i="3" s="1"/>
  <c r="F31" i="1" s="1"/>
  <c r="Q29" i="3" l="1" a="1"/>
  <c r="Q29" i="3" s="1"/>
  <c r="H32" i="1" s="1"/>
  <c r="R28" i="3"/>
  <c r="H28" i="3"/>
  <c r="G29" i="3" a="1"/>
  <c r="G29" i="3" s="1"/>
  <c r="G31" i="1" s="1"/>
  <c r="R29" i="3" l="1" a="1"/>
  <c r="R29" i="3" s="1"/>
  <c r="I32" i="1" s="1"/>
  <c r="B33" i="1" s="1" a="1"/>
  <c r="B33" i="1" s="1"/>
  <c r="K29" i="3" a="1"/>
  <c r="K29" i="3" s="1"/>
  <c r="L30" i="3"/>
  <c r="L31" i="3" s="1" a="1"/>
  <c r="L31" i="3" s="1"/>
  <c r="I28" i="3"/>
  <c r="H29" i="3" a="1"/>
  <c r="H29" i="3" s="1"/>
  <c r="H31" i="1" s="1"/>
  <c r="C34" i="1" l="1"/>
  <c r="M30" i="3"/>
  <c r="C30" i="3"/>
  <c r="I29" i="3" a="1"/>
  <c r="I29" i="3" s="1"/>
  <c r="I31" i="1" s="1"/>
  <c r="B32" i="1" s="1" a="1"/>
  <c r="B32" i="1" s="1"/>
  <c r="B29" i="3" a="1"/>
  <c r="B29" i="3" s="1"/>
  <c r="M31" i="3" l="1" a="1"/>
  <c r="M31" i="3" s="1"/>
  <c r="D34" i="1" s="1"/>
  <c r="N30" i="3"/>
  <c r="N31" i="3" s="1" a="1"/>
  <c r="N31" i="3" s="1"/>
  <c r="C31" i="3" a="1"/>
  <c r="C31" i="3" s="1"/>
  <c r="C33" i="1" s="1"/>
  <c r="D30" i="3"/>
  <c r="O30" i="3" l="1"/>
  <c r="O31" i="3" s="1" a="1"/>
  <c r="O31" i="3" s="1"/>
  <c r="E34" i="1"/>
  <c r="E30" i="3"/>
  <c r="D31" i="3" a="1"/>
  <c r="D31" i="3" s="1"/>
  <c r="D33" i="1" s="1"/>
  <c r="P30" i="3" l="1"/>
  <c r="P31" i="3" s="1" a="1"/>
  <c r="P31" i="3" s="1"/>
  <c r="F34" i="1"/>
  <c r="F30" i="3"/>
  <c r="E31" i="3" a="1"/>
  <c r="E31" i="3" s="1"/>
  <c r="E33" i="1" s="1"/>
  <c r="G34" i="1" l="1"/>
  <c r="Q30" i="3"/>
  <c r="Q31" i="3" s="1" a="1"/>
  <c r="Q31" i="3" s="1"/>
  <c r="G30" i="3"/>
  <c r="F31" i="3" a="1"/>
  <c r="F31" i="3" s="1"/>
  <c r="F33" i="1" s="1"/>
  <c r="H34" i="1" l="1"/>
  <c r="R30" i="3"/>
  <c r="R31" i="3" s="1" a="1"/>
  <c r="R31" i="3" s="1"/>
  <c r="H30" i="3"/>
  <c r="G31" i="3" a="1"/>
  <c r="G31" i="3" s="1"/>
  <c r="G33" i="1" s="1"/>
  <c r="I34" i="1" l="1"/>
  <c r="K31" i="3" a="1"/>
  <c r="K31" i="3" s="1"/>
  <c r="I30" i="3"/>
  <c r="H31" i="3" a="1"/>
  <c r="H31" i="3" s="1"/>
  <c r="H33" i="1" s="1"/>
  <c r="I31" i="3" l="1" a="1"/>
  <c r="I31" i="3" s="1"/>
  <c r="I33" i="1" s="1"/>
  <c r="B34" i="1" s="1" a="1"/>
  <c r="B34" i="1" s="1"/>
  <c r="B31" i="3" a="1"/>
  <c r="B3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Spencer Pope</author>
  </authors>
  <commentList>
    <comment ref="M6" authorId="0" shapeId="0" xr:uid="{89A9C542-05FB-454B-98E8-554143C94CCE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Used for annual events</t>
        </r>
      </text>
    </comment>
    <comment ref="P6" authorId="0" shapeId="0" xr:uid="{250B68BC-45D2-4054-9C41-CC17973CD5FB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Specific days: Su,M,Tu,W,Th,F,Sa
WeekDays: WD
Weekend: E
All Days: A
</t>
        </r>
      </text>
    </comment>
    <comment ref="R6" authorId="0" shapeId="0" xr:uid="{E737C1FE-484E-40ED-B1B2-9916EE555ED9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Used for annual events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Spencer Pope</author>
  </authors>
  <commentList>
    <comment ref="F3" authorId="0" shapeId="0" xr:uid="{D5AEA7F1-9F48-4DC1-90A9-239CA875A556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Specific days: Su,M,Tu,W,Th,F,Sa
WeekDays: WD
Weekend: E
All Days: 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<sst xmlns="http://schemas.openxmlformats.org/spreadsheetml/2006/main" count="140" uniqueCount="75">
  <si>
    <t>Monday</t>
  </si>
  <si>
    <t>Sunday</t>
  </si>
  <si>
    <t>Tuesday</t>
  </si>
  <si>
    <t>Thursday</t>
  </si>
  <si>
    <t>Wednesday</t>
  </si>
  <si>
    <t>Friday</t>
  </si>
  <si>
    <t>Saturday</t>
  </si>
  <si>
    <t>Month</t>
  </si>
  <si>
    <t>Month:</t>
  </si>
  <si>
    <t>Year:</t>
  </si>
  <si>
    <t>Name</t>
  </si>
  <si>
    <t>Time</t>
  </si>
  <si>
    <t>Day</t>
  </si>
  <si>
    <t>Year</t>
  </si>
  <si>
    <t>New Years Day</t>
  </si>
  <si>
    <t>Date</t>
  </si>
  <si>
    <t>Jan 1st</t>
  </si>
  <si>
    <t>Presidents Day</t>
  </si>
  <si>
    <t>MLK Day</t>
  </si>
  <si>
    <t>Valentines Day</t>
  </si>
  <si>
    <t>Feb 14th</t>
  </si>
  <si>
    <t>3rd Monday in feb</t>
  </si>
  <si>
    <t>Memorial Day</t>
  </si>
  <si>
    <t>Last Monday of May</t>
  </si>
  <si>
    <t>Mothers Day</t>
  </si>
  <si>
    <t>2nd Sunday of May</t>
  </si>
  <si>
    <t>Juneteenth</t>
  </si>
  <si>
    <t>June 19th</t>
  </si>
  <si>
    <t>July 4th</t>
  </si>
  <si>
    <t>Independence day</t>
  </si>
  <si>
    <t>Fathers Day</t>
  </si>
  <si>
    <t>3rd Sunday in june</t>
  </si>
  <si>
    <t>Labor Day</t>
  </si>
  <si>
    <t>1st Monday in September</t>
  </si>
  <si>
    <t>3rd Monday in january</t>
  </si>
  <si>
    <t>Columbus Day</t>
  </si>
  <si>
    <t>2nd Monday in oct</t>
  </si>
  <si>
    <t>Halloween</t>
  </si>
  <si>
    <t>October 31st</t>
  </si>
  <si>
    <t>Veterans Day</t>
  </si>
  <si>
    <t>November 11th</t>
  </si>
  <si>
    <t>Thanksgiving</t>
  </si>
  <si>
    <t>Last Thursday of November</t>
  </si>
  <si>
    <t>Black Friday</t>
  </si>
  <si>
    <t>Friday after thanksgiving</t>
  </si>
  <si>
    <t>Christmas eve</t>
  </si>
  <si>
    <t>December 24th</t>
  </si>
  <si>
    <t>Christmas day</t>
  </si>
  <si>
    <t>December 25th</t>
  </si>
  <si>
    <t>New years Eve</t>
  </si>
  <si>
    <t>December 31st</t>
  </si>
  <si>
    <t>New years Day</t>
  </si>
  <si>
    <t>January 1st</t>
  </si>
  <si>
    <t>Events</t>
  </si>
  <si>
    <t>Start Date</t>
  </si>
  <si>
    <t>End Date</t>
  </si>
  <si>
    <t>Days</t>
  </si>
  <si>
    <t>Event Name</t>
  </si>
  <si>
    <t>Event Details</t>
  </si>
  <si>
    <t>recurring</t>
  </si>
  <si>
    <t>No</t>
  </si>
  <si>
    <t>Days Numbered</t>
  </si>
  <si>
    <t>Entry</t>
  </si>
  <si>
    <t>Current</t>
  </si>
  <si>
    <t>Yearly Occasion</t>
  </si>
  <si>
    <t>My Birthday</t>
  </si>
  <si>
    <t>Niko's Birthday</t>
  </si>
  <si>
    <t>Export Settings</t>
  </si>
  <si>
    <t>Format</t>
  </si>
  <si>
    <t>png</t>
  </si>
  <si>
    <t>Game Night</t>
  </si>
  <si>
    <t>Tu,F</t>
  </si>
  <si>
    <t>Meet with friends to play games</t>
  </si>
  <si>
    <t>Moving day</t>
  </si>
  <si>
    <t>Helping brother move into 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</si>
</sst>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;\ ;\ ;\ "/>
    <numFmt numFmtId="165" formatCode="d;\ ;\ ;"/>
    <numFmt numFmtId="166" formatCode="d;\ ;\ ;\ @"/>
    <numFmt numFmtId="167" formatCode="d;\ ;\ ;@"/>
    <numFmt numFmtId="168" formatCode="[$-409]mmmm\ d;@"/>
  </numFmts>
  <fonts count="9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rgb="FF44546A"/>
        <bgColor indexed="64"/>
      </patternFill>
    </fill>
    <fill>
      <patternFill patternType="solid">
        <fgColor theme="2" tint="-9.9978637043366805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3" xfId="0" applyBorder="1"/>
    <xf numFmtId="165" fontId="0" fillId="0" borderId="19" xfId="0" applyNumberFormat="1" applyBorder="1"/>
    <xf numFmtId="165" fontId="0" fillId="0" borderId="2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165" fontId="0" fillId="0" borderId="0" xfId="0" applyNumberFormat="1"/>
    <xf numFmtId="165" fontId="0" fillId="0" borderId="14" xfId="0" applyNumberFormat="1" applyBorder="1"/>
    <xf numFmtId="0" fontId="0" fillId="0" borderId="2" xfId="0" applyBorder="1" applyAlignment="1">
      <alignment wrapText="1"/>
    </xf>
    <xf numFmtId="0" fontId="0" fillId="0" borderId="23" xfId="0" applyBorder="1" applyAlignment="1">
      <alignment wrapText="1"/>
    </xf>
    <xf numFmtId="0" fontId="0" fillId="0" borderId="0" xfId="0" applyAlignment="1">
      <alignment wrapText="1"/>
    </xf>
    <xf numFmtId="0" fontId="0" fillId="0" borderId="14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24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5" xfId="0" applyBorder="1" applyAlignment="1">
      <alignment wrapText="1"/>
    </xf>
    <xf numFmtId="166" fontId="0" fillId="0" borderId="7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30" xfId="0" applyFont="1" applyFill="1" applyBorder="1"/>
    <xf numFmtId="1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3" borderId="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2" borderId="29" xfId="0" applyFont="1" applyFill="1" applyBorder="1" applyAlignment="1">
      <alignment horizontal="center"/>
    </xf>
    <xf numFmtId="14" fontId="0" fillId="4" borderId="29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0" xfId="0" applyFill="1" applyBorder="1" applyAlignment="1">
      <alignment wrapText="1"/>
    </xf>
    <xf numFmtId="0" fontId="0" fillId="5" borderId="0" xfId="0" applyFill="1"/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right"/>
    </xf>
    <xf numFmtId="0" fontId="0" fillId="6" borderId="0" xfId="0" applyFill="1"/>
    <xf numFmtId="14" fontId="0" fillId="7" borderId="29" xfId="0" applyNumberFormat="1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0" borderId="31" xfId="0" applyBorder="1"/>
    <xf numFmtId="0" fontId="0" fillId="0" borderId="25" xfId="0" applyBorder="1" applyAlignment="1">
      <alignment horizontal="center" wrapText="1"/>
    </xf>
    <xf numFmtId="0" fontId="0" fillId="0" borderId="26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32" xfId="0" applyBorder="1"/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68" fontId="0" fillId="0" borderId="25" xfId="0" applyNumberFormat="1" applyBorder="1" applyAlignment="1">
      <alignment horizontal="center" wrapText="1"/>
    </xf>
    <xf numFmtId="0" fontId="0" fillId="0" borderId="0" xfId="0" applyAlignment="1">
      <alignment vertical="center" wrapText="1"/>
    </xf>
    <xf numFmtId="2" fontId="0" fillId="5" borderId="0" xfId="0" applyNumberFormat="1" applyFill="1"/>
    <xf numFmtId="0" fontId="0" fillId="5" borderId="0" xfId="0" applyFill="1" applyAlignment="1">
      <alignment horizontal="center"/>
    </xf>
    <xf numFmtId="0" fontId="3" fillId="0" borderId="15" xfId="0" applyFont="1" applyBorder="1"/>
    <xf numFmtId="0" fontId="3" fillId="0" borderId="35" xfId="0" applyFont="1" applyBorder="1" applyAlignment="1">
      <alignment horizontal="center"/>
    </xf>
    <xf numFmtId="0" fontId="3" fillId="0" borderId="36" xfId="0" applyFont="1" applyBorder="1"/>
    <xf numFmtId="0" fontId="3" fillId="0" borderId="37" xfId="0" applyFont="1" applyBorder="1"/>
    <xf numFmtId="0" fontId="0" fillId="6" borderId="0" xfId="0" applyFill="1" applyAlignment="1">
      <alignment horizontal="center" vertical="center"/>
    </xf>
    <xf numFmtId="0" fontId="0" fillId="8" borderId="0" xfId="0" applyFill="1"/>
    <xf numFmtId="0" fontId="1" fillId="6" borderId="2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8" fillId="3" borderId="1" xfId="0" applyFont="1" applyFill="1" applyBorder="1"/>
    <xf numFmtId="0" fontId="8" fillId="3" borderId="4" xfId="0" applyFont="1" applyFill="1" applyBorder="1"/>
    <xf numFmtId="0" fontId="8" fillId="3" borderId="5" xfId="0" applyFont="1" applyFill="1" applyBorder="1"/>
    <xf numFmtId="0" fontId="8" fillId="3" borderId="6" xfId="0" applyFont="1" applyFill="1" applyBorder="1"/>
    <xf numFmtId="166" fontId="8" fillId="0" borderId="7" xfId="0" applyNumberFormat="1" applyFont="1" applyBorder="1" applyAlignment="1">
      <alignment horizontal="center" vertical="center"/>
    </xf>
    <xf numFmtId="167" fontId="8" fillId="0" borderId="8" xfId="0" applyNumberFormat="1" applyFont="1" applyBorder="1" applyAlignment="1">
      <alignment horizontal="center" vertical="center"/>
    </xf>
    <xf numFmtId="167" fontId="8" fillId="0" borderId="9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58">
    <dxf>
      <font>
        <color rgb="FFC00000"/>
      </font>
      <fill>
        <patternFill patternType="solid">
          <bgColor rgb="FFFFCCCC"/>
        </patternFill>
      </fill>
    </dxf>
    <dxf>
      <border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CCCCFF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6666FF"/>
        </patternFill>
      </fill>
    </dxf>
    <dxf>
      <font>
        <color theme="1"/>
      </font>
      <fill>
        <patternFill>
          <bgColor theme="9" tint="0.39994506668294322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bottom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CCCCFF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6666FF"/>
        </patternFill>
      </fill>
    </dxf>
    <dxf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theme="0" tint="-0.24994659260841701"/>
        </bottom>
      </border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4546A"/>
      <color rgb="FFC8F2F7"/>
      <color rgb="FF5BD8E6"/>
      <color rgb="FFFFCCCC"/>
      <color rgb="FF6666FF"/>
      <color rgb="FFCCCCFF"/>
      <color rgb="FF9966FF"/>
      <color rgb="FF1BD2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304800</xdr:rowOff>
        </xdr:from>
        <xdr:to>
          <xdr:col>16</xdr:col>
          <xdr:colOff>28575</xdr:colOff>
          <xdr:row>7</xdr:row>
          <xdr:rowOff>857250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7</xdr:row>
          <xdr:rowOff>180975</xdr:rowOff>
        </xdr:from>
        <xdr:to>
          <xdr:col>18</xdr:col>
          <xdr:colOff>428625</xdr:colOff>
          <xdr:row>7</xdr:row>
          <xdr:rowOff>866775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regular event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657225</xdr:colOff>
          <xdr:row>7</xdr:row>
          <xdr:rowOff>180975</xdr:rowOff>
        </xdr:from>
        <xdr:to>
          <xdr:col>19</xdr:col>
          <xdr:colOff>28575</xdr:colOff>
          <xdr:row>7</xdr:row>
          <xdr:rowOff>866775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annual event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3</xdr:row>
          <xdr:rowOff>66675</xdr:rowOff>
        </xdr:from>
        <xdr:to>
          <xdr:col>13</xdr:col>
          <xdr:colOff>381000</xdr:colOff>
          <xdr:row>6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Events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798D82-C236-4863-BECE-780E2868DB8B}" name="Events" displayName="Events" ref="B3:I5" totalsRowShown="0" headerRowDxfId="57" dataDxfId="56">
  <autoFilter ref="B3:I5" xr:uid="{A8798D82-C236-4863-BECE-780E2868DB8B}"/>
  <tableColumns count="8">
    <tableColumn id="16" xr3:uid="{A9228F5B-4D7B-4365-B5D1-4FA2E7DCE19D}" name="Entry" dataDxfId="55">
      <calculatedColumnFormula>ROW() - ROW(Events[[#Headers],[Entry]])</calculatedColumnFormula>
    </tableColumn>
    <tableColumn id="1" xr3:uid="{3221A0DD-D556-42B6-8278-8E6CC2EA747F}" name="Start Date" dataDxfId="54"/>
    <tableColumn id="2" xr3:uid="{5EFA3508-3C5D-476A-A37B-9CEEA78F6ECF}" name="End Date" dataDxfId="53"/>
    <tableColumn id="3" xr3:uid="{696513DC-48EE-449A-98C7-2114229176B5}" name="recurring" dataDxfId="52"/>
    <tableColumn id="4" xr3:uid="{46E513D4-6B86-467F-B85B-F933A15D5AEB}" name="Days" dataDxfId="51"/>
    <tableColumn id="5" xr3:uid="{62585BED-813C-4372-9A0C-D05914DA3298}" name="Days Numbered" dataDxfId="50"/>
    <tableColumn id="6" xr3:uid="{62DFF7CD-2FAB-46EF-B29A-274043A0AD2B}" name="Event Name" dataDxfId="49"/>
    <tableColumn id="7" xr3:uid="{F7761E76-BB94-4757-AFC6-EF24A0A91AB7}" name="Event Details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30B447-80AD-4140-8FFF-7CAA48D12EB8}" name="annual_events" displayName="annual_events" ref="P3:U24" totalsRowShown="0" headerRowDxfId="47" dataDxfId="45" headerRowBorderDxfId="46" tableBorderDxfId="44">
  <autoFilter ref="P3:U24" xr:uid="{FA30B447-80AD-4140-8FFF-7CAA48D12EB8}"/>
  <tableColumns count="6">
    <tableColumn id="1" xr3:uid="{E88828A6-66F9-468D-A5DA-22E85A6860E3}" name="Name" dataDxfId="43"/>
    <tableColumn id="2" xr3:uid="{871D4BC6-61DA-4AC5-AC6E-716727653DA0}" name="Time" dataDxfId="42"/>
    <tableColumn id="3" xr3:uid="{3A3D479C-31DA-4A9E-ABDC-1E9A253EC975}" name="Day" dataDxfId="41"/>
    <tableColumn id="4" xr3:uid="{D72A48DC-F343-4290-A312-08E2E5ED3D82}" name="Month" dataDxfId="40"/>
    <tableColumn id="5" xr3:uid="{FE6AC423-307D-45DE-975B-12D71815C020}" name="Year" dataDxfId="39"/>
    <tableColumn id="6" xr3:uid="{1E9EF7EE-174A-4A65-97CE-F27EE639597A}" name="Date" dataDxfId="38">
      <calculatedColumnFormula>DATE(T4,S4,R4)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y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589BD"/>
      </a:accent1>
      <a:accent2>
        <a:srgbClr val="1B9AAA"/>
      </a:accent2>
      <a:accent3>
        <a:srgbClr val="40B546"/>
      </a:accent3>
      <a:accent4>
        <a:srgbClr val="595A4A"/>
      </a:accent4>
      <a:accent5>
        <a:srgbClr val="00487C"/>
      </a:accent5>
      <a:accent6>
        <a:srgbClr val="FDCA4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4F2F5-57E3-426B-BB2C-7C5516261A60}">
  <sheetPr codeName="Sheet4">
    <pageSetUpPr fitToPage="1"/>
  </sheetPr>
  <dimension ref="A1:P32"/>
  <sheetViews>
    <sheetView showGridLines="0" zoomScaleNormal="100" workbookViewId="0">
      <selection activeCell="O5" sqref="O5"/>
    </sheetView>
  </sheetViews>
  <sheetFormatPr defaultRowHeight="15" x14ac:dyDescent="0.25"/>
  <cols>
    <col min="1" max="1" width="5.7109375" style="45" customWidth="1"/>
    <col min="2" max="2" width="23.42578125" style="45" customWidth="1"/>
    <col min="3" max="4" width="28.7109375" style="45" customWidth="1"/>
    <col min="5" max="5" width="32.85546875" style="45" bestFit="1" customWidth="1"/>
    <col min="6" max="9" width="28.7109375" style="45" customWidth="1"/>
    <col min="10" max="10" width="5.7109375" style="45" customWidth="1"/>
    <col min="11" max="13" width="9.140625" style="45"/>
    <col min="14" max="14" width="10.7109375" style="45" customWidth="1"/>
    <col min="15" max="15" width="9.140625" style="45"/>
    <col min="16" max="16" width="9.140625" style="45" hidden="1" customWidth="1"/>
    <col min="17" max="16384" width="9.140625" style="45"/>
  </cols>
  <sheetData>
    <row r="1" spans="1:16" ht="60.7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</row>
    <row r="2" spans="1:16" ht="30" customHeight="1" x14ac:dyDescent="0.45">
      <c r="A2" s="48"/>
      <c r="B2" s="73" t="s">
        <v>7</v>
      </c>
      <c r="C2" s="74" t="s">
        <v>1</v>
      </c>
      <c r="D2" s="75" t="s">
        <v>0</v>
      </c>
      <c r="E2" s="75" t="s">
        <v>2</v>
      </c>
      <c r="F2" s="75" t="s">
        <v>4</v>
      </c>
      <c r="G2" s="75" t="s">
        <v>3</v>
      </c>
      <c r="H2" s="75" t="s">
        <v>5</v>
      </c>
      <c r="I2" s="76" t="s">
        <v>6</v>
      </c>
      <c r="J2" s="48"/>
    </row>
    <row r="3" spans="1:16" ht="30" customHeight="1" x14ac:dyDescent="0.25">
      <c r="A3" s="48"/>
      <c r="B3" s="2"/>
      <c r="C3" s="77">
        <f ca="1">IF('Support Calendars'!U5 &lt;&gt;"", 'Support Calendars'!U5,'Support Calendars'!U4)</f>
        <v>0</v>
      </c>
      <c r="D3" s="78">
        <f ca="1">IF('Support Calendars'!V5 &lt;&gt; "", 'Support Calendars'!V5,'Support Calendars'!V4)</f>
        <v>0</v>
      </c>
      <c r="E3" s="78">
        <f ca="1">IF('Support Calendars'!W5 &lt;&gt; "", 'Support Calendars'!W5,'Support Calendars'!W4)</f>
        <v>0</v>
      </c>
      <c r="F3" s="78">
        <f ca="1">IF('Support Calendars'!X5 &lt;&gt; "", 'Support Calendars'!X5,'Support Calendars'!X4)</f>
        <v>44958</v>
      </c>
      <c r="G3" s="78">
        <f ca="1">IF('Support Calendars'!Y5 &lt;&gt; "", 'Support Calendars'!Y5,'Support Calendars'!Y4)</f>
        <v>44959</v>
      </c>
      <c r="H3" s="78">
        <f ca="1">IF('Support Calendars'!Z5 &lt;&gt; "", 'Support Calendars'!Z5,'Support Calendars'!Z4)</f>
        <v>44960</v>
      </c>
      <c r="I3" s="79">
        <f ca="1">IF('Support Calendars'!AA5 &lt;&gt; "", 'Support Calendars'!AA5,'Support Calendars'!AA4)</f>
        <v>44961</v>
      </c>
      <c r="J3" s="48"/>
    </row>
    <row r="4" spans="1:16" ht="72" customHeight="1" x14ac:dyDescent="0.25">
      <c r="A4" s="48"/>
      <c r="B4" s="3" t="str" cm="1">
        <f t="array" aca="1" ref="B4" ca="1">IF(OR(IFERROR(DAY(C3:I3),0)=15), TEXT(MIN(C3:I3), "mmm")," ")</f>
        <v xml:space="preserve"> </v>
      </c>
      <c r="C4" s="80" t="str">
        <f ca="1">'Support Calendars'!AD5</f>
        <v/>
      </c>
      <c r="D4" s="81" t="str">
        <f ca="1">'Support Calendars'!AE5</f>
        <v/>
      </c>
      <c r="E4" s="81" t="str">
        <f ca="1">'Support Calendars'!AF5</f>
        <v/>
      </c>
      <c r="F4" s="81" t="str">
        <f ca="1">'Support Calendars'!AG5</f>
        <v/>
      </c>
      <c r="G4" s="81" t="str">
        <f ca="1">'Support Calendars'!AH5</f>
        <v/>
      </c>
      <c r="H4" s="81" t="str">
        <f ca="1">'Support Calendars'!AI5</f>
        <v/>
      </c>
      <c r="I4" s="82" t="str">
        <f ca="1">'Support Calendars'!AJ5</f>
        <v/>
      </c>
      <c r="J4" s="48"/>
      <c r="N4" s="83" t="s">
        <v>67</v>
      </c>
      <c r="O4" s="83"/>
    </row>
    <row r="5" spans="1:16" ht="30" customHeight="1" x14ac:dyDescent="0.25">
      <c r="A5" s="48"/>
      <c r="B5" s="2" t="str" cm="1">
        <f t="array" aca="1" ref="B5" ca="1">IF(OR(IFERROR(DAY(C4:I4),0)=15), TEXT(MIN(C4:I4), "mmm")," ")</f>
        <v xml:space="preserve"> </v>
      </c>
      <c r="C5" s="77">
        <f ca="1">IF('Support Calendars'!U7 &lt;&gt;"", 'Support Calendars'!U7,'Support Calendars'!U6)</f>
        <v>44962</v>
      </c>
      <c r="D5" s="78">
        <f ca="1">IF('Support Calendars'!V7 &lt;&gt; "", 'Support Calendars'!V7,'Support Calendars'!V6)</f>
        <v>44963</v>
      </c>
      <c r="E5" s="78">
        <f ca="1">IF('Support Calendars'!W7 &lt;&gt; "", 'Support Calendars'!W7,'Support Calendars'!W6)</f>
        <v>44964</v>
      </c>
      <c r="F5" s="78">
        <f ca="1">IF('Support Calendars'!X7 &lt;&gt; "", 'Support Calendars'!X7,'Support Calendars'!X6)</f>
        <v>44965</v>
      </c>
      <c r="G5" s="78">
        <f ca="1">IF('Support Calendars'!Y7 &lt;&gt; "", 'Support Calendars'!Y7,'Support Calendars'!Y6)</f>
        <v>44966</v>
      </c>
      <c r="H5" s="78">
        <f ca="1">IF('Support Calendars'!Z7 &lt;&gt; "", 'Support Calendars'!Z7,'Support Calendars'!Z6)</f>
        <v>44967</v>
      </c>
      <c r="I5" s="79">
        <f ca="1">IF('Support Calendars'!AA7 &lt;&gt; "", 'Support Calendars'!AA7,'Support Calendars'!AA6)</f>
        <v>44968</v>
      </c>
      <c r="J5" s="48"/>
      <c r="N5" s="67" t="s">
        <v>7</v>
      </c>
      <c r="O5" s="31" t="s">
        <v>63</v>
      </c>
      <c r="P5" s="48">
        <f ca="1">IF(O5="Current",MONTH(TODAY()),MONTH(DATEVALUE(O5&amp;" 1")))</f>
        <v>2</v>
      </c>
    </row>
    <row r="6" spans="1:16" ht="72" customHeight="1" x14ac:dyDescent="0.25">
      <c r="A6" s="48"/>
      <c r="B6" s="3" t="str" cm="1">
        <f t="array" aca="1" ref="B6" ca="1">IF(OR(IFERROR(DAY(C5:I5),0)=15), TEXT(MIN(C5:I5), "mmm")," ")</f>
        <v xml:space="preserve"> </v>
      </c>
      <c r="C6" s="80" t="str">
        <f ca="1">'Support Calendars'!AD7</f>
        <v/>
      </c>
      <c r="D6" s="81" t="str">
        <f ca="1">'Support Calendars'!AE7</f>
        <v/>
      </c>
      <c r="E6" s="81" t="str">
        <f ca="1">'Support Calendars'!AF7</f>
        <v/>
      </c>
      <c r="F6" s="81" t="str">
        <f ca="1">'Support Calendars'!AG7</f>
        <v/>
      </c>
      <c r="G6" s="81" t="str">
        <f ca="1">'Support Calendars'!AH7</f>
        <v/>
      </c>
      <c r="H6" s="81" t="str">
        <f ca="1">'Support Calendars'!AI7</f>
        <v/>
      </c>
      <c r="I6" s="82" t="str">
        <f ca="1">'Support Calendars'!AJ7</f>
        <v/>
      </c>
      <c r="J6" s="48"/>
      <c r="N6" s="67" t="s">
        <v>13</v>
      </c>
      <c r="O6" s="31">
        <f ca="1">YEAR(TODAY())</f>
        <v>2023</v>
      </c>
      <c r="P6" s="48" t="str">
        <f ca="1">TEXT(DATE(print_year,P5,1), "mmm")</f>
        <v>Feb</v>
      </c>
    </row>
    <row r="7" spans="1:16" ht="30" customHeight="1" x14ac:dyDescent="0.25">
      <c r="A7" s="48"/>
      <c r="B7" s="2" t="str" cm="1">
        <f t="array" aca="1" ref="B7" ca="1">IF(OR(IFERROR(DAY(C6:I6),0)=15), TEXT(MIN(C6:I6), "mmm")," ")</f>
        <v xml:space="preserve"> </v>
      </c>
      <c r="C7" s="77">
        <f ca="1">IF('Support Calendars'!U9 &lt;&gt;"", 'Support Calendars'!U9,'Support Calendars'!U8)</f>
        <v>44969</v>
      </c>
      <c r="D7" s="78">
        <f ca="1">IF('Support Calendars'!V9 &lt;&gt; "", 'Support Calendars'!V9,'Support Calendars'!V8)</f>
        <v>44970</v>
      </c>
      <c r="E7" s="78" t="str">
        <f ca="1">IF('Support Calendars'!W9 &lt;&gt; "", 'Support Calendars'!W9,'Support Calendars'!W8)</f>
        <v>Valentines Day</v>
      </c>
      <c r="F7" s="78">
        <f ca="1">IF('Support Calendars'!X9 &lt;&gt; "", 'Support Calendars'!X9,'Support Calendars'!X8)</f>
        <v>44972</v>
      </c>
      <c r="G7" s="78">
        <f ca="1">IF('Support Calendars'!Y9 &lt;&gt; "", 'Support Calendars'!Y9,'Support Calendars'!Y8)</f>
        <v>44973</v>
      </c>
      <c r="H7" s="78">
        <f ca="1">IF('Support Calendars'!Z9 &lt;&gt; "", 'Support Calendars'!Z9,'Support Calendars'!Z8)</f>
        <v>44974</v>
      </c>
      <c r="I7" s="79">
        <f ca="1">IF('Support Calendars'!AA9 &lt;&gt; "", 'Support Calendars'!AA9,'Support Calendars'!AA8)</f>
        <v>44975</v>
      </c>
      <c r="J7" s="48"/>
      <c r="N7" s="67" t="s">
        <v>68</v>
      </c>
      <c r="O7" s="31" t="s">
        <v>69</v>
      </c>
    </row>
    <row r="8" spans="1:16" ht="72" customHeight="1" x14ac:dyDescent="0.25">
      <c r="A8" s="48"/>
      <c r="B8" s="3" t="str" cm="1">
        <f t="array" aca="1" ref="B8" ca="1">IF(OR(IFERROR(DAY(C7:I7),0)=15), TEXT(MIN(C7:I7), "mmm YYYY")," ")</f>
        <v>Feb 2023</v>
      </c>
      <c r="C8" s="80" t="str">
        <f ca="1">'Support Calendars'!AD9</f>
        <v/>
      </c>
      <c r="D8" s="81" t="str">
        <f ca="1">'Support Calendars'!AE9</f>
        <v/>
      </c>
      <c r="E8" s="81" t="str">
        <f ca="1">'Support Calendars'!AF9</f>
        <v/>
      </c>
      <c r="F8" s="81" t="str">
        <f ca="1">'Support Calendars'!AG9</f>
        <v/>
      </c>
      <c r="G8" s="81" t="str">
        <f ca="1">'Support Calendars'!AH9</f>
        <v/>
      </c>
      <c r="H8" s="81" t="str">
        <f ca="1">'Support Calendars'!AI9</f>
        <v/>
      </c>
      <c r="I8" s="82" t="str">
        <f ca="1">'Support Calendars'!AJ9</f>
        <v>Moving day</v>
      </c>
      <c r="J8" s="48"/>
    </row>
    <row r="9" spans="1:16" ht="30" customHeight="1" x14ac:dyDescent="0.25">
      <c r="A9" s="48"/>
      <c r="B9" s="2" t="str" cm="1">
        <f t="array" aca="1" ref="B9" ca="1">IF(OR(IFERROR(DAY(C8:I8),0)=15), TEXT(MIN(C8:I8), "mmm")," ")</f>
        <v xml:space="preserve"> </v>
      </c>
      <c r="C9" s="77">
        <f ca="1">IF('Support Calendars'!U11 &lt;&gt;"", 'Support Calendars'!U11,'Support Calendars'!U10)</f>
        <v>44976</v>
      </c>
      <c r="D9" s="78" t="str">
        <f ca="1">IF('Support Calendars'!V11 &lt;&gt; "", 'Support Calendars'!V11,'Support Calendars'!V10)</f>
        <v>Presidents Day</v>
      </c>
      <c r="E9" s="78">
        <f ca="1">IF('Support Calendars'!W11 &lt;&gt; "", 'Support Calendars'!W11,'Support Calendars'!W10)</f>
        <v>44978</v>
      </c>
      <c r="F9" s="78">
        <f ca="1">IF('Support Calendars'!X11 &lt;&gt; "", 'Support Calendars'!X11,'Support Calendars'!X10)</f>
        <v>44979</v>
      </c>
      <c r="G9" s="78">
        <f ca="1">IF('Support Calendars'!Y11 &lt;&gt; "", 'Support Calendars'!Y11,'Support Calendars'!Y10)</f>
        <v>44980</v>
      </c>
      <c r="H9" s="78">
        <f ca="1">IF('Support Calendars'!Z11 &lt;&gt; "", 'Support Calendars'!Z11,'Support Calendars'!Z10)</f>
        <v>44981</v>
      </c>
      <c r="I9" s="79">
        <f ca="1">IF('Support Calendars'!AA11 &lt;&gt; "", 'Support Calendars'!AA11,'Support Calendars'!AA10)</f>
        <v>44982</v>
      </c>
      <c r="J9" s="48"/>
    </row>
    <row r="10" spans="1:16" ht="72" customHeight="1" x14ac:dyDescent="0.25">
      <c r="A10" s="48"/>
      <c r="B10" s="3" t="str" cm="1">
        <f t="array" aca="1" ref="B10" ca="1">IF(OR(IFERROR(DAY(C9:I9),0)=15), TEXT(MIN(C9:I9), "mmm")," ")</f>
        <v xml:space="preserve"> </v>
      </c>
      <c r="C10" s="80" t="str">
        <f ca="1">'Support Calendars'!AD11</f>
        <v/>
      </c>
      <c r="D10" s="81" t="str">
        <f ca="1">'Support Calendars'!AE11</f>
        <v/>
      </c>
      <c r="E10" s="81" t="str">
        <f ca="1">'Support Calendars'!AF11</f>
        <v/>
      </c>
      <c r="F10" s="81" t="str">
        <f ca="1">'Support Calendars'!AG11</f>
        <v/>
      </c>
      <c r="G10" s="81" t="str">
        <f ca="1">'Support Calendars'!AH11</f>
        <v/>
      </c>
      <c r="H10" s="81" t="str">
        <f ca="1">'Support Calendars'!AI11</f>
        <v/>
      </c>
      <c r="I10" s="82" t="str">
        <f ca="1">'Support Calendars'!AJ11</f>
        <v/>
      </c>
      <c r="J10" s="48"/>
    </row>
    <row r="11" spans="1:16" ht="30" customHeight="1" x14ac:dyDescent="0.25">
      <c r="A11" s="48"/>
      <c r="B11" s="2" t="str" cm="1">
        <f t="array" aca="1" ref="B11" ca="1">IF(OR(IFERROR(DAY(C10:I10),0)=15), TEXT(MIN(C10:I10), "mmm")," ")</f>
        <v xml:space="preserve"> </v>
      </c>
      <c r="C11" s="77">
        <f ca="1">IF('Support Calendars'!U13 &lt;&gt;"", 'Support Calendars'!U13,'Support Calendars'!U12)</f>
        <v>44983</v>
      </c>
      <c r="D11" s="78">
        <f ca="1">IF('Support Calendars'!V13 &lt;&gt; "", 'Support Calendars'!V13,'Support Calendars'!V12)</f>
        <v>44984</v>
      </c>
      <c r="E11" s="78">
        <f ca="1">IF('Support Calendars'!W13 &lt;&gt; "", 'Support Calendars'!W13,'Support Calendars'!W12)</f>
        <v>44985</v>
      </c>
      <c r="F11" s="78">
        <f ca="1">IF('Support Calendars'!X13 &lt;&gt; "", 'Support Calendars'!X13,'Support Calendars'!X12)</f>
        <v>44986</v>
      </c>
      <c r="G11" s="78">
        <f ca="1">IF('Support Calendars'!Y13 &lt;&gt; "", 'Support Calendars'!Y13,'Support Calendars'!Y12)</f>
        <v>44987</v>
      </c>
      <c r="H11" s="78">
        <f ca="1">IF('Support Calendars'!Z13 &lt;&gt; "", 'Support Calendars'!Z13,'Support Calendars'!Z12)</f>
        <v>44988</v>
      </c>
      <c r="I11" s="79">
        <f ca="1">IF('Support Calendars'!AA13 &lt;&gt; "", 'Support Calendars'!AA13,'Support Calendars'!AA12)</f>
        <v>44989</v>
      </c>
      <c r="J11" s="48"/>
    </row>
    <row r="12" spans="1:16" ht="72" customHeight="1" x14ac:dyDescent="0.25">
      <c r="A12" s="48"/>
      <c r="B12" s="3" t="str" cm="1">
        <f t="array" aca="1" ref="B12" ca="1">IF(OR(IFERROR(DAY(C11:I11),0)=15), TEXT(MIN(C11:I11), "mmm")," ")</f>
        <v xml:space="preserve"> </v>
      </c>
      <c r="C12" s="80" t="str">
        <f ca="1">'Support Calendars'!AD13</f>
        <v/>
      </c>
      <c r="D12" s="81" t="str">
        <f ca="1">'Support Calendars'!AE13</f>
        <v/>
      </c>
      <c r="E12" s="81" t="str">
        <f ca="1">'Support Calendars'!AF13</f>
        <v/>
      </c>
      <c r="F12" s="81" t="str">
        <f ca="1">'Support Calendars'!AG13</f>
        <v/>
      </c>
      <c r="G12" s="81" t="str">
        <f ca="1">'Support Calendars'!AH13</f>
        <v/>
      </c>
      <c r="H12" s="81" t="str">
        <f ca="1">'Support Calendars'!AI13</f>
        <v/>
      </c>
      <c r="I12" s="82" t="str">
        <f ca="1">'Support Calendars'!AJ13</f>
        <v/>
      </c>
      <c r="J12" s="48"/>
    </row>
    <row r="13" spans="1:16" ht="30" customHeight="1" x14ac:dyDescent="0.25">
      <c r="A13" s="48"/>
      <c r="B13" s="2" t="str" cm="1">
        <f t="array" aca="1" ref="B13" ca="1">IF(OR(IFERROR(DAY(C12:I12),0)=15), TEXT(MIN(C12:I12), "mmm")," ")</f>
        <v xml:space="preserve"> </v>
      </c>
      <c r="C13" s="27">
        <f ca="1">IF('Support Calendars'!U15 &lt;&gt;"", 'Support Calendars'!U15,'Support Calendars'!U14)</f>
        <v>44990</v>
      </c>
      <c r="D13" s="28">
        <f ca="1">IF('Support Calendars'!V15 &lt;&gt; "", 'Support Calendars'!V15,'Support Calendars'!V14)</f>
        <v>44991</v>
      </c>
      <c r="E13" s="28">
        <f ca="1">IF('Support Calendars'!W15 &lt;&gt; "", 'Support Calendars'!W15,'Support Calendars'!W14)</f>
        <v>44992</v>
      </c>
      <c r="F13" s="28">
        <f ca="1">IF('Support Calendars'!X15 &lt;&gt; "", 'Support Calendars'!X15,'Support Calendars'!X14)</f>
        <v>44993</v>
      </c>
      <c r="G13" s="28">
        <f ca="1">IF('Support Calendars'!Y15 &lt;&gt; "", 'Support Calendars'!Y15,'Support Calendars'!Y14)</f>
        <v>44994</v>
      </c>
      <c r="H13" s="28">
        <f ca="1">IF('Support Calendars'!Z15 &lt;&gt; "", 'Support Calendars'!Z15,'Support Calendars'!Z14)</f>
        <v>44995</v>
      </c>
      <c r="I13" s="29">
        <f ca="1">IF('Support Calendars'!AA15 &lt;&gt; "", 'Support Calendars'!AA15,'Support Calendars'!AA14)</f>
        <v>44996</v>
      </c>
      <c r="J13" s="48"/>
    </row>
    <row r="14" spans="1:16" ht="72" customHeight="1" x14ac:dyDescent="0.25">
      <c r="A14" s="48"/>
      <c r="B14" s="69" t="str" cm="1">
        <f t="array" aca="1" ref="B14" ca="1">IF(OR(IFERROR(DAY(C13:I13),0)=15), TEXT(MIN(C13:I13), "mmm")," ")</f>
        <v xml:space="preserve"> </v>
      </c>
      <c r="C14" s="70" t="str">
        <f ca="1">'Support Calendars'!AD15</f>
        <v/>
      </c>
      <c r="D14" s="71" t="str">
        <f ca="1">'Support Calendars'!AE15</f>
        <v/>
      </c>
      <c r="E14" s="71" t="str">
        <f ca="1">'Support Calendars'!AF15</f>
        <v/>
      </c>
      <c r="F14" s="71" t="str">
        <f ca="1">'Support Calendars'!AG15</f>
        <v/>
      </c>
      <c r="G14" s="71" t="str">
        <f ca="1">'Support Calendars'!AH15</f>
        <v/>
      </c>
      <c r="H14" s="71" t="str">
        <f ca="1">'Support Calendars'!AI15</f>
        <v/>
      </c>
      <c r="I14" s="72" t="str">
        <f ca="1">'Support Calendars'!AJ15</f>
        <v/>
      </c>
      <c r="J14" s="48"/>
    </row>
    <row r="15" spans="1:1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</row>
    <row r="16" spans="1:16" x14ac:dyDescent="0.25">
      <c r="L16" s="68"/>
    </row>
    <row r="32" spans="11:11" x14ac:dyDescent="0.25">
      <c r="K32" s="68"/>
    </row>
  </sheetData>
  <mergeCells count="1">
    <mergeCell ref="N4:O4"/>
  </mergeCells>
  <conditionalFormatting sqref="C3:I3 C5:I5 C7:I7 C9:I9 C11:I11 C13:I13">
    <cfRule type="expression" dxfId="37" priority="10">
      <formula>C4 &lt;&gt; ""</formula>
    </cfRule>
    <cfRule type="expression" dxfId="36" priority="12">
      <formula>NOT(ISNUMBER(C3))</formula>
    </cfRule>
    <cfRule type="expression" dxfId="35" priority="19">
      <formula>ISEVEN(MONTH(C3))</formula>
    </cfRule>
    <cfRule type="expression" dxfId="34" priority="20">
      <formula>ISODD(MONTH(C3))</formula>
    </cfRule>
  </conditionalFormatting>
  <conditionalFormatting sqref="C4 I4 C6 I6 C8 I8 C10 I10 C12 I12 C14 I14">
    <cfRule type="expression" dxfId="33" priority="14">
      <formula>ISEVEN(MONTH(C3))</formula>
    </cfRule>
    <cfRule type="expression" dxfId="32" priority="15">
      <formula>ISODD(MONTH(C3))</formula>
    </cfRule>
  </conditionalFormatting>
  <conditionalFormatting sqref="C4:I4 C6:I6 C8:I8 C10:I10 C12:I12 C14:I14">
    <cfRule type="expression" dxfId="31" priority="11">
      <formula>C4 &lt;&gt; ""</formula>
    </cfRule>
    <cfRule type="expression" dxfId="30" priority="13">
      <formula>NOT(ISNUMBER(C3))</formula>
    </cfRule>
  </conditionalFormatting>
  <conditionalFormatting sqref="B4 B6 B8 B10 B12 B14">
    <cfRule type="expression" dxfId="29" priority="7">
      <formula>AND((MONTH(C3)&lt;&gt;MONTH(C5)), C3&lt;&gt;0)</formula>
    </cfRule>
  </conditionalFormatting>
  <conditionalFormatting sqref="B6">
    <cfRule type="expression" dxfId="28" priority="6">
      <formula>AND((MONTH($D$8)&lt;&gt;MONTH($D$10)), $D$8&lt;&gt;0)</formula>
    </cfRule>
  </conditionalFormatting>
  <conditionalFormatting sqref="B8">
    <cfRule type="expression" dxfId="27" priority="5">
      <formula>AND((MONTH($D$8)&lt;&gt;MONTH($D$10)), $D$8&lt;&gt;0)</formula>
    </cfRule>
  </conditionalFormatting>
  <conditionalFormatting sqref="B10">
    <cfRule type="expression" dxfId="26" priority="4">
      <formula>AND((MONTH($D$8)&lt;&gt;MONTH($D$10)), $D$8&lt;&gt;0)</formula>
    </cfRule>
  </conditionalFormatting>
  <conditionalFormatting sqref="B12">
    <cfRule type="expression" dxfId="25" priority="3">
      <formula>AND((MONTH($D$8)&lt;&gt;MONTH($D$10)), $D$8&lt;&gt;0)</formula>
    </cfRule>
  </conditionalFormatting>
  <conditionalFormatting sqref="B14">
    <cfRule type="expression" dxfId="24" priority="2">
      <formula>AND((MONTH($D$8)&lt;&gt;MONTH($D$10)), $D$8&lt;&gt;0)</formula>
    </cfRule>
  </conditionalFormatting>
  <conditionalFormatting sqref="B13:I14">
    <cfRule type="expression" dxfId="23" priority="1">
      <formula>MONTH($C$11)&lt;&gt;MONTH($C$13)</formula>
    </cfRule>
  </conditionalFormatting>
  <dataValidations count="2">
    <dataValidation type="list" allowBlank="1" showInputMessage="1" showErrorMessage="1" sqref="O5" xr:uid="{63B4E7D2-F306-4FBF-87DF-2E6514AEF696}">
      <formula1>"January, February, March, April, May, June, July, August, October, November, Decembe, Current"</formula1>
    </dataValidation>
    <dataValidation type="list" allowBlank="1" showInputMessage="1" showErrorMessage="1" sqref="O7" xr:uid="{D966674B-28F3-42B0-80BA-7A70F6DE0245}">
      <formula1>"pdf,png,jpeg"</formula1>
    </dataValidation>
  </dataValidations>
  <pageMargins left="0.7" right="0.7" top="0.75" bottom="0.75" header="0.3" footer="0.3"/>
  <pageSetup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print_calendar">
                <anchor moveWithCells="1" sizeWithCells="1">
                  <from>
                    <xdr:col>13</xdr:col>
                    <xdr:colOff>9525</xdr:colOff>
                    <xdr:row>7</xdr:row>
                    <xdr:rowOff>304800</xdr:rowOff>
                  </from>
                  <to>
                    <xdr:col>16</xdr:col>
                    <xdr:colOff>28575</xdr:colOff>
                    <xdr:row>7</xdr:row>
                    <xdr:rowOff>857250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C0BF02E9-E183-4901-A7B4-E1371CC74DB7}">
            <xm:f>MONTH(C5+'Support Calendars'!C1)&lt;&gt;MONTH('Support Calendars'!D1)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C5:H5 C7:H7 C9:H9 C11:H11 C13:H13</xm:sqref>
        </x14:conditionalFormatting>
        <x14:conditionalFormatting xmlns:xm="http://schemas.microsoft.com/office/excel/2006/main">
          <x14:cfRule type="expression" priority="17" id="{BE1BEAFA-3F53-4D1F-8341-0915B3972933}">
            <xm:f>MONTH('Support Calendars'!C1) &lt;&gt; MONTH('Support Calendars'!D1)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C6:H6 C8:H8 C10:H10 C12:H12 C14:H14</xm:sqref>
        </x14:conditionalFormatting>
        <x14:conditionalFormatting xmlns:xm="http://schemas.microsoft.com/office/excel/2006/main">
          <x14:cfRule type="expression" priority="16" id="{E9BD0819-073A-4305-BCF2-68F47671BBC6}">
            <xm:f>MONTH('Support Calendars'!C1) &lt;&gt; MONTH('Support Calendars'!C3)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H13 C6:I6 C8:I8 C10:I10 C12:I12 C14:I14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336C-A4F8-48C3-858F-C692B707EFAF}">
  <sheetPr codeName="Sheet1"/>
  <dimension ref="B4:S34"/>
  <sheetViews>
    <sheetView showGridLines="0" topLeftCell="A16" zoomScaleNormal="100" workbookViewId="0">
      <selection activeCell="S7" sqref="S7"/>
    </sheetView>
  </sheetViews>
  <sheetFormatPr defaultRowHeight="15" x14ac:dyDescent="0.25"/>
  <cols>
    <col min="1" max="1" width="9.140625" style="45"/>
    <col min="2" max="2" width="17.7109375" style="45" customWidth="1"/>
    <col min="3" max="9" width="15.7109375" style="45" customWidth="1"/>
    <col min="10" max="12" width="9.140625" style="45"/>
    <col min="13" max="13" width="12.140625" style="45" customWidth="1"/>
    <col min="14" max="14" width="14" style="45" customWidth="1"/>
    <col min="15" max="15" width="9.140625" style="45"/>
    <col min="16" max="16" width="9.140625" style="45" hidden="1" customWidth="1"/>
    <col min="17" max="17" width="14.85546875" style="45" hidden="1" customWidth="1"/>
    <col min="18" max="18" width="23.85546875" style="45" customWidth="1"/>
    <col min="19" max="19" width="36.85546875" style="45" customWidth="1"/>
    <col min="20" max="20" width="9.140625" style="45" customWidth="1"/>
    <col min="21" max="16384" width="9.140625" style="45"/>
  </cols>
  <sheetData>
    <row r="4" spans="2:19" x14ac:dyDescent="0.25">
      <c r="C4" s="1" t="s">
        <v>8</v>
      </c>
      <c r="D4" t="s">
        <v>63</v>
      </c>
      <c r="E4" s="1" t="s">
        <v>9</v>
      </c>
      <c r="F4">
        <f ca="1">YEAR(TODAY())</f>
        <v>2023</v>
      </c>
    </row>
    <row r="5" spans="2:19" hidden="1" x14ac:dyDescent="0.25">
      <c r="C5" s="47"/>
      <c r="D5" s="48">
        <f ca="1">IF(Month="Current",MONTH(TODAY()),MONTH(DATEVALUE(D4&amp;" 1")))</f>
        <v>2</v>
      </c>
    </row>
    <row r="6" spans="2:19" x14ac:dyDescent="0.25">
      <c r="B6" s="37" t="s">
        <v>7</v>
      </c>
      <c r="C6" s="38" t="s">
        <v>1</v>
      </c>
      <c r="D6" s="39" t="s">
        <v>0</v>
      </c>
      <c r="E6" s="39" t="s">
        <v>2</v>
      </c>
      <c r="F6" s="39" t="s">
        <v>4</v>
      </c>
      <c r="G6" s="39" t="s">
        <v>3</v>
      </c>
      <c r="H6" s="39" t="s">
        <v>5</v>
      </c>
      <c r="I6" s="40" t="s">
        <v>6</v>
      </c>
      <c r="M6" s="41" t="s">
        <v>54</v>
      </c>
      <c r="N6" s="41" t="s">
        <v>55</v>
      </c>
      <c r="O6" s="41" t="s">
        <v>59</v>
      </c>
      <c r="P6" s="41" t="s">
        <v>56</v>
      </c>
      <c r="Q6" s="41" t="s">
        <v>61</v>
      </c>
      <c r="R6" s="41" t="s">
        <v>57</v>
      </c>
      <c r="S6" s="32" t="s">
        <v>58</v>
      </c>
    </row>
    <row r="7" spans="2:19" x14ac:dyDescent="0.25">
      <c r="B7" s="2"/>
      <c r="C7" s="27">
        <f ca="1">IF('Support Calendars'!C5 &lt;&gt;"", 'Support Calendars'!C5,'Support Calendars'!C4)</f>
        <v>0</v>
      </c>
      <c r="D7" s="28">
        <f ca="1">IF('Support Calendars'!D5 &lt;&gt; "", 'Support Calendars'!D5,'Support Calendars'!D4)</f>
        <v>0</v>
      </c>
      <c r="E7" s="28">
        <f ca="1">IF('Support Calendars'!E5 &lt;&gt; "", 'Support Calendars'!E5,'Support Calendars'!E4)</f>
        <v>0</v>
      </c>
      <c r="F7" s="28">
        <f ca="1">IF('Support Calendars'!F5 &lt;&gt; "", 'Support Calendars'!F5,'Support Calendars'!F4)</f>
        <v>44958</v>
      </c>
      <c r="G7" s="28">
        <f ca="1">IF('Support Calendars'!G5 &lt;&gt; "", 'Support Calendars'!G5,'Support Calendars'!G4)</f>
        <v>44959</v>
      </c>
      <c r="H7" s="28">
        <f ca="1">IF('Support Calendars'!H5 &lt;&gt; "", 'Support Calendars'!H5,'Support Calendars'!H4)</f>
        <v>44960</v>
      </c>
      <c r="I7" s="29">
        <f ca="1">IF('Support Calendars'!I5 &lt;&gt; "", 'Support Calendars'!I5,'Support Calendars'!I4)</f>
        <v>44961</v>
      </c>
      <c r="M7" s="49">
        <v>44975</v>
      </c>
      <c r="N7" s="42">
        <v>44975</v>
      </c>
      <c r="O7" s="43" t="s">
        <v>60</v>
      </c>
      <c r="P7" s="43" t="s">
        <v>71</v>
      </c>
      <c r="Q7" s="43" t="str">
        <f>IF(O7="No","1,2,3,4,5,6,7",IF(P7="WD","2,3,4,5,6",IF(P7="WE","1,7",IF(P7="A","1,2,3,4,5,6,7",SUBSTITUTE(SUBSTITUTE(SUBSTITUTE(SUBSTITUTE(SUBSTITUTE(SUBSTITUTE(SUBSTITUTE(P7,"Su","1"),"M","2"),"Tu","3"),"W","4"),"Th","5"),"F","6"),"Sa","7")))))</f>
        <v>1,2,3,4,5,6,7</v>
      </c>
      <c r="R7" s="50" t="s">
        <v>73</v>
      </c>
      <c r="S7" s="44" t="s">
        <v>74</v>
      </c>
    </row>
    <row r="8" spans="2:19" ht="80.099999999999994" customHeight="1" x14ac:dyDescent="0.25">
      <c r="B8" s="3" t="str" cm="1">
        <f t="array" aca="1" ref="B8" ca="1">IF(OR(IFERROR(DAY(C7:I7),0)=15), TEXT(MIN(C7:I7), "mmm")," ")</f>
        <v xml:space="preserve"> </v>
      </c>
      <c r="C8" s="34" t="str">
        <f ca="1">'Support Calendars'!L5</f>
        <v/>
      </c>
      <c r="D8" s="35" t="str">
        <f ca="1">'Support Calendars'!M5</f>
        <v/>
      </c>
      <c r="E8" s="35" t="str">
        <f ca="1">'Support Calendars'!N5</f>
        <v/>
      </c>
      <c r="F8" s="35" t="str">
        <f ca="1">'Support Calendars'!O5</f>
        <v/>
      </c>
      <c r="G8" s="35" t="str">
        <f ca="1">'Support Calendars'!P5</f>
        <v/>
      </c>
      <c r="H8" s="35" t="str">
        <f ca="1">'Support Calendars'!Q5</f>
        <v/>
      </c>
      <c r="I8" s="36" t="str">
        <f ca="1">'Support Calendars'!R5</f>
        <v/>
      </c>
    </row>
    <row r="9" spans="2:19" x14ac:dyDescent="0.25">
      <c r="B9" s="2" t="str" cm="1">
        <f t="array" aca="1" ref="B9" ca="1">IF(OR(IFERROR(DAY(C8:I8),0)=15), TEXT(MIN(C8:I8), "mmm")," ")</f>
        <v xml:space="preserve"> </v>
      </c>
      <c r="C9" s="27">
        <f ca="1">IF('Support Calendars'!C7 &lt;&gt;"", 'Support Calendars'!C7,'Support Calendars'!C6)</f>
        <v>44962</v>
      </c>
      <c r="D9" s="28">
        <f ca="1">IF('Support Calendars'!D7 &lt;&gt; "", 'Support Calendars'!D7,'Support Calendars'!D6)</f>
        <v>44963</v>
      </c>
      <c r="E9" s="28">
        <f ca="1">IF('Support Calendars'!E7 &lt;&gt; "", 'Support Calendars'!E7,'Support Calendars'!E6)</f>
        <v>44964</v>
      </c>
      <c r="F9" s="28">
        <f ca="1">IF('Support Calendars'!F7 &lt;&gt; "", 'Support Calendars'!F7,'Support Calendars'!F6)</f>
        <v>44965</v>
      </c>
      <c r="G9" s="28">
        <f ca="1">IF('Support Calendars'!G7 &lt;&gt; "", 'Support Calendars'!G7,'Support Calendars'!G6)</f>
        <v>44966</v>
      </c>
      <c r="H9" s="28">
        <f ca="1">IF('Support Calendars'!H7 &lt;&gt; "", 'Support Calendars'!H7,'Support Calendars'!H6)</f>
        <v>44967</v>
      </c>
      <c r="I9" s="29">
        <f ca="1">IF('Support Calendars'!I7 &lt;&gt; "", 'Support Calendars'!I7,'Support Calendars'!I6)</f>
        <v>44968</v>
      </c>
    </row>
    <row r="10" spans="2:19" ht="80.099999999999994" customHeight="1" x14ac:dyDescent="0.25">
      <c r="B10" s="3" t="str" cm="1">
        <f t="array" aca="1" ref="B10" ca="1">IF(OR(IFERROR(DAY(C9:I9),0)=15), TEXT(MIN(C9:I9), "mmm")," ")</f>
        <v xml:space="preserve"> </v>
      </c>
      <c r="C10" s="34" t="str">
        <f ca="1">'Support Calendars'!L7</f>
        <v/>
      </c>
      <c r="D10" s="35" t="str">
        <f ca="1">'Support Calendars'!M7</f>
        <v/>
      </c>
      <c r="E10" s="35" t="str">
        <f ca="1">'Support Calendars'!N7</f>
        <v/>
      </c>
      <c r="F10" s="35" t="str">
        <f ca="1">'Support Calendars'!O7</f>
        <v/>
      </c>
      <c r="G10" s="35" t="str">
        <f ca="1">'Support Calendars'!P7</f>
        <v/>
      </c>
      <c r="H10" s="35" t="str">
        <f ca="1">'Support Calendars'!Q7</f>
        <v/>
      </c>
      <c r="I10" s="36" t="str">
        <f ca="1">'Support Calendars'!R7</f>
        <v/>
      </c>
    </row>
    <row r="11" spans="2:19" x14ac:dyDescent="0.25">
      <c r="B11" s="2" t="str" cm="1">
        <f t="array" aca="1" ref="B11" ca="1">IF(OR(IFERROR(DAY(C10:I10),0)=15), TEXT(MIN(C10:I10), "mmm")," ")</f>
        <v xml:space="preserve"> </v>
      </c>
      <c r="C11" s="27">
        <f ca="1">IF('Support Calendars'!C9 &lt;&gt;"", 'Support Calendars'!C9,'Support Calendars'!C8)</f>
        <v>44969</v>
      </c>
      <c r="D11" s="28">
        <f ca="1">IF('Support Calendars'!D9 &lt;&gt; "", 'Support Calendars'!D9,'Support Calendars'!D8)</f>
        <v>44970</v>
      </c>
      <c r="E11" s="28" t="str">
        <f ca="1">IF('Support Calendars'!E9 &lt;&gt; "", 'Support Calendars'!E9,'Support Calendars'!E8)</f>
        <v>Valentines Day</v>
      </c>
      <c r="F11" s="28">
        <f ca="1">IF('Support Calendars'!F9 &lt;&gt; "", 'Support Calendars'!F9,'Support Calendars'!F8)</f>
        <v>44972</v>
      </c>
      <c r="G11" s="28">
        <f ca="1">IF('Support Calendars'!G9 &lt;&gt; "", 'Support Calendars'!G9,'Support Calendars'!G8)</f>
        <v>44973</v>
      </c>
      <c r="H11" s="28">
        <f ca="1">IF('Support Calendars'!H9 &lt;&gt; "", 'Support Calendars'!H9,'Support Calendars'!H8)</f>
        <v>44974</v>
      </c>
      <c r="I11" s="29">
        <f ca="1">IF('Support Calendars'!I9 &lt;&gt; "", 'Support Calendars'!I9,'Support Calendars'!I8)</f>
        <v>44975</v>
      </c>
      <c r="K11" s="46"/>
      <c r="L11" s="46"/>
      <c r="M11" s="46"/>
      <c r="N11" s="46"/>
      <c r="O11" s="46"/>
      <c r="P11" s="46"/>
      <c r="Q11" s="46"/>
    </row>
    <row r="12" spans="2:19" ht="80.099999999999994" customHeight="1" x14ac:dyDescent="0.25">
      <c r="B12" s="3" t="str" cm="1">
        <f t="array" aca="1" ref="B12" ca="1">IF(OR(IFERROR(DAY(C11:I11),0)=15), TEXT(MIN(C11:I11), "mmm")," ")</f>
        <v>Feb</v>
      </c>
      <c r="C12" s="34" t="str">
        <f ca="1">'Support Calendars'!L9</f>
        <v/>
      </c>
      <c r="D12" s="35" t="str">
        <f ca="1">'Support Calendars'!M9</f>
        <v/>
      </c>
      <c r="E12" s="35" t="str">
        <f ca="1">'Support Calendars'!N9</f>
        <v/>
      </c>
      <c r="F12" s="35" t="str">
        <f ca="1">'Support Calendars'!O9</f>
        <v/>
      </c>
      <c r="G12" s="35" t="str">
        <f ca="1">'Support Calendars'!P9</f>
        <v/>
      </c>
      <c r="H12" s="35" t="str">
        <f ca="1">'Support Calendars'!Q9</f>
        <v/>
      </c>
      <c r="I12" s="36" t="str">
        <f ca="1">'Support Calendars'!R9</f>
        <v>Moving day</v>
      </c>
    </row>
    <row r="13" spans="2:19" x14ac:dyDescent="0.25">
      <c r="B13" s="2" t="str" cm="1">
        <f t="array" aca="1" ref="B13" ca="1">IF(OR(IFERROR(DAY(C12:I12),0)=15), TEXT(MIN(C12:I12), "mmm")," ")</f>
        <v xml:space="preserve"> </v>
      </c>
      <c r="C13" s="27">
        <f ca="1">IF('Support Calendars'!C11 &lt;&gt;"", 'Support Calendars'!C11,'Support Calendars'!C10)</f>
        <v>44976</v>
      </c>
      <c r="D13" s="28" t="str">
        <f ca="1">IF('Support Calendars'!D11 &lt;&gt; "", 'Support Calendars'!D11,'Support Calendars'!D10)</f>
        <v>Presidents Day</v>
      </c>
      <c r="E13" s="28">
        <f ca="1">IF('Support Calendars'!E11 &lt;&gt; "", 'Support Calendars'!E11,'Support Calendars'!E10)</f>
        <v>44978</v>
      </c>
      <c r="F13" s="28">
        <f ca="1">IF('Support Calendars'!F11 &lt;&gt; "", 'Support Calendars'!F11,'Support Calendars'!F10)</f>
        <v>44979</v>
      </c>
      <c r="G13" s="28">
        <f ca="1">IF('Support Calendars'!G11 &lt;&gt; "", 'Support Calendars'!G11,'Support Calendars'!G10)</f>
        <v>44980</v>
      </c>
      <c r="H13" s="28">
        <f ca="1">IF('Support Calendars'!H11 &lt;&gt; "", 'Support Calendars'!H11,'Support Calendars'!H10)</f>
        <v>44981</v>
      </c>
      <c r="I13" s="29">
        <f ca="1">IF('Support Calendars'!I11 &lt;&gt; "", 'Support Calendars'!I11,'Support Calendars'!I10)</f>
        <v>44982</v>
      </c>
    </row>
    <row r="14" spans="2:19" ht="80.099999999999994" customHeight="1" x14ac:dyDescent="0.25">
      <c r="B14" s="3" t="str" cm="1">
        <f t="array" aca="1" ref="B14" ca="1">IF(OR(IFERROR(DAY(C13:I13),0)=15), TEXT(MIN(C13:I13), "mmm")," ")</f>
        <v xml:space="preserve"> </v>
      </c>
      <c r="C14" s="34" t="str">
        <f ca="1">'Support Calendars'!L11</f>
        <v/>
      </c>
      <c r="D14" s="35" t="str">
        <f ca="1">'Support Calendars'!M11</f>
        <v/>
      </c>
      <c r="E14" s="35" t="str">
        <f ca="1">'Support Calendars'!N11</f>
        <v/>
      </c>
      <c r="F14" s="35" t="str">
        <f ca="1">'Support Calendars'!O11</f>
        <v/>
      </c>
      <c r="G14" s="35" t="str">
        <f ca="1">'Support Calendars'!P11</f>
        <v/>
      </c>
      <c r="H14" s="35" t="str">
        <f ca="1">'Support Calendars'!Q11</f>
        <v/>
      </c>
      <c r="I14" s="36" t="str">
        <f ca="1">'Support Calendars'!R11</f>
        <v/>
      </c>
    </row>
    <row r="15" spans="2:19" x14ac:dyDescent="0.25">
      <c r="B15" s="2" t="str" cm="1">
        <f t="array" aca="1" ref="B15" ca="1">IF(OR(IFERROR(DAY(C14:I14),0)=15), TEXT(MIN(C14:I14), "mmm")," ")</f>
        <v xml:space="preserve"> </v>
      </c>
      <c r="C15" s="27">
        <f ca="1">IF('Support Calendars'!C13 &lt;&gt;"", 'Support Calendars'!C13,'Support Calendars'!C12)</f>
        <v>44983</v>
      </c>
      <c r="D15" s="28">
        <f ca="1">IF('Support Calendars'!D13 &lt;&gt; "", 'Support Calendars'!D13,'Support Calendars'!D12)</f>
        <v>44984</v>
      </c>
      <c r="E15" s="28">
        <f ca="1">IF('Support Calendars'!E13 &lt;&gt; "", 'Support Calendars'!E13,'Support Calendars'!E12)</f>
        <v>44985</v>
      </c>
      <c r="F15" s="28">
        <f ca="1">IF('Support Calendars'!F13 &lt;&gt; "", 'Support Calendars'!F13,'Support Calendars'!F12)</f>
        <v>44986</v>
      </c>
      <c r="G15" s="28">
        <f ca="1">IF('Support Calendars'!G13 &lt;&gt; "", 'Support Calendars'!G13,'Support Calendars'!G12)</f>
        <v>44987</v>
      </c>
      <c r="H15" s="28">
        <f ca="1">IF('Support Calendars'!H13 &lt;&gt; "", 'Support Calendars'!H13,'Support Calendars'!H12)</f>
        <v>44988</v>
      </c>
      <c r="I15" s="29">
        <f ca="1">IF('Support Calendars'!I13 &lt;&gt; "", 'Support Calendars'!I13,'Support Calendars'!I12)</f>
        <v>44989</v>
      </c>
    </row>
    <row r="16" spans="2:19" ht="80.099999999999994" customHeight="1" x14ac:dyDescent="0.25">
      <c r="B16" s="3" t="str" cm="1">
        <f t="array" aca="1" ref="B16" ca="1">IF(OR(IFERROR(DAY(C15:I15),0)=15), TEXT(MIN(C15:I15), "mmm")," ")</f>
        <v xml:space="preserve"> </v>
      </c>
      <c r="C16" s="34" t="str">
        <f ca="1">'Support Calendars'!L13</f>
        <v/>
      </c>
      <c r="D16" s="35" t="str">
        <f ca="1">'Support Calendars'!M13</f>
        <v/>
      </c>
      <c r="E16" s="35" t="str">
        <f ca="1">'Support Calendars'!N13</f>
        <v/>
      </c>
      <c r="F16" s="35" t="str">
        <f ca="1">'Support Calendars'!O13</f>
        <v/>
      </c>
      <c r="G16" s="35" t="str">
        <f ca="1">'Support Calendars'!P13</f>
        <v/>
      </c>
      <c r="H16" s="35" t="str">
        <f ca="1">'Support Calendars'!Q13</f>
        <v/>
      </c>
      <c r="I16" s="36" t="str">
        <f ca="1">'Support Calendars'!R13</f>
        <v/>
      </c>
    </row>
    <row r="17" spans="2:9" x14ac:dyDescent="0.25">
      <c r="B17" s="2" t="str" cm="1">
        <f t="array" aca="1" ref="B17" ca="1">IF(OR(IFERROR(DAY(C16:I16),0)=15), TEXT(MIN(C16:I16), "mmm")," ")</f>
        <v xml:space="preserve"> </v>
      </c>
      <c r="C17" s="27">
        <f ca="1">IF('Support Calendars'!C15 &lt;&gt;"", 'Support Calendars'!C15,'Support Calendars'!C14)</f>
        <v>44990</v>
      </c>
      <c r="D17" s="28">
        <f ca="1">IF('Support Calendars'!D15 &lt;&gt; "", 'Support Calendars'!D15,'Support Calendars'!D14)</f>
        <v>44991</v>
      </c>
      <c r="E17" s="28">
        <f ca="1">IF('Support Calendars'!E15 &lt;&gt; "", 'Support Calendars'!E15,'Support Calendars'!E14)</f>
        <v>44992</v>
      </c>
      <c r="F17" s="28">
        <f ca="1">IF('Support Calendars'!F15 &lt;&gt; "", 'Support Calendars'!F15,'Support Calendars'!F14)</f>
        <v>44993</v>
      </c>
      <c r="G17" s="28">
        <f ca="1">IF('Support Calendars'!G15 &lt;&gt; "", 'Support Calendars'!G15,'Support Calendars'!G14)</f>
        <v>44994</v>
      </c>
      <c r="H17" s="28">
        <f ca="1">IF('Support Calendars'!H15 &lt;&gt; "", 'Support Calendars'!H15,'Support Calendars'!H14)</f>
        <v>44995</v>
      </c>
      <c r="I17" s="29">
        <f ca="1">IF('Support Calendars'!I15 &lt;&gt; "", 'Support Calendars'!I15,'Support Calendars'!I14)</f>
        <v>44996</v>
      </c>
    </row>
    <row r="18" spans="2:9" ht="80.099999999999994" customHeight="1" x14ac:dyDescent="0.25">
      <c r="B18" s="3" t="str" cm="1">
        <f t="array" aca="1" ref="B18" ca="1">IF(OR(IFERROR(DAY(C17:I17),0)=15), TEXT(MIN(C17:I17), "mmm")," ")</f>
        <v xml:space="preserve"> </v>
      </c>
      <c r="C18" s="34" t="str">
        <f ca="1">'Support Calendars'!L15</f>
        <v/>
      </c>
      <c r="D18" s="35" t="str">
        <f ca="1">'Support Calendars'!M15</f>
        <v/>
      </c>
      <c r="E18" s="35" t="str">
        <f ca="1">'Support Calendars'!N15</f>
        <v/>
      </c>
      <c r="F18" s="35" t="str">
        <f ca="1">'Support Calendars'!O15</f>
        <v/>
      </c>
      <c r="G18" s="35" t="str">
        <f ca="1">'Support Calendars'!P15</f>
        <v/>
      </c>
      <c r="H18" s="35" t="str">
        <f ca="1">'Support Calendars'!Q15</f>
        <v/>
      </c>
      <c r="I18" s="36" t="str">
        <f ca="1">'Support Calendars'!R15</f>
        <v/>
      </c>
    </row>
    <row r="19" spans="2:9" x14ac:dyDescent="0.25">
      <c r="B19" s="2" t="str" cm="1">
        <f t="array" aca="1" ref="B19" ca="1">IF(OR(IFERROR(DAY(C18:I18),0)=15), TEXT(MIN(C18:I18), "mmm")," ")</f>
        <v xml:space="preserve"> </v>
      </c>
      <c r="C19" s="27">
        <f ca="1">IF('Support Calendars'!C17 &lt;&gt;"", 'Support Calendars'!C17,'Support Calendars'!C16)</f>
        <v>44997</v>
      </c>
      <c r="D19" s="28">
        <f ca="1">IF('Support Calendars'!D17 &lt;&gt; "", 'Support Calendars'!D17,'Support Calendars'!D16)</f>
        <v>44998</v>
      </c>
      <c r="E19" s="28">
        <f ca="1">IF('Support Calendars'!E17 &lt;&gt; "", 'Support Calendars'!E17,'Support Calendars'!E16)</f>
        <v>44999</v>
      </c>
      <c r="F19" s="28">
        <f ca="1">IF('Support Calendars'!F17 &lt;&gt; "", 'Support Calendars'!F17,'Support Calendars'!F16)</f>
        <v>45000</v>
      </c>
      <c r="G19" s="28">
        <f ca="1">IF('Support Calendars'!G17 &lt;&gt; "", 'Support Calendars'!G17,'Support Calendars'!G16)</f>
        <v>45001</v>
      </c>
      <c r="H19" s="28">
        <f ca="1">IF('Support Calendars'!H17 &lt;&gt; "", 'Support Calendars'!H17,'Support Calendars'!H16)</f>
        <v>45002</v>
      </c>
      <c r="I19" s="29">
        <f ca="1">IF('Support Calendars'!I17 &lt;&gt; "", 'Support Calendars'!I17,'Support Calendars'!I16)</f>
        <v>45003</v>
      </c>
    </row>
    <row r="20" spans="2:9" ht="80.099999999999994" customHeight="1" x14ac:dyDescent="0.25">
      <c r="B20" s="3" t="str" cm="1">
        <f t="array" aca="1" ref="B20" ca="1">IF(OR(IFERROR(DAY(C19:I19),0)=15), TEXT(MIN(C19:I19), "mmm")," ")</f>
        <v>Mar</v>
      </c>
      <c r="C20" s="34" t="str">
        <f ca="1">'Support Calendars'!L17</f>
        <v/>
      </c>
      <c r="D20" s="35" t="str">
        <f ca="1">'Support Calendars'!M17</f>
        <v/>
      </c>
      <c r="E20" s="35" t="str">
        <f ca="1">'Support Calendars'!N17</f>
        <v/>
      </c>
      <c r="F20" s="35" t="str">
        <f ca="1">'Support Calendars'!O17</f>
        <v/>
      </c>
      <c r="G20" s="35" t="str">
        <f ca="1">'Support Calendars'!P17</f>
        <v/>
      </c>
      <c r="H20" s="35" t="str">
        <f ca="1">'Support Calendars'!Q17</f>
        <v/>
      </c>
      <c r="I20" s="36" t="str">
        <f ca="1">'Support Calendars'!R17</f>
        <v/>
      </c>
    </row>
    <row r="21" spans="2:9" x14ac:dyDescent="0.25">
      <c r="B21" s="2" t="str" cm="1">
        <f t="array" aca="1" ref="B21" ca="1">IF(OR(IFERROR(DAY(C20:I20),0)=15), TEXT(MIN(C20:I20), "mmm")," ")</f>
        <v xml:space="preserve"> </v>
      </c>
      <c r="C21" s="27">
        <f ca="1">IF('Support Calendars'!C19 &lt;&gt;"", 'Support Calendars'!C19,'Support Calendars'!C18)</f>
        <v>45004</v>
      </c>
      <c r="D21" s="28">
        <f ca="1">IF('Support Calendars'!D19 &lt;&gt; "", 'Support Calendars'!D19,'Support Calendars'!D18)</f>
        <v>45005</v>
      </c>
      <c r="E21" s="28">
        <f ca="1">IF('Support Calendars'!E19 &lt;&gt; "", 'Support Calendars'!E19,'Support Calendars'!E18)</f>
        <v>45006</v>
      </c>
      <c r="F21" s="28">
        <f ca="1">IF('Support Calendars'!F19 &lt;&gt; "", 'Support Calendars'!F19,'Support Calendars'!F18)</f>
        <v>45007</v>
      </c>
      <c r="G21" s="28">
        <f ca="1">IF('Support Calendars'!G19 &lt;&gt; "", 'Support Calendars'!G19,'Support Calendars'!G18)</f>
        <v>45008</v>
      </c>
      <c r="H21" s="28">
        <f ca="1">IF('Support Calendars'!H19 &lt;&gt; "", 'Support Calendars'!H19,'Support Calendars'!H18)</f>
        <v>45009</v>
      </c>
      <c r="I21" s="29">
        <f ca="1">IF('Support Calendars'!I19 &lt;&gt; "", 'Support Calendars'!I19,'Support Calendars'!I18)</f>
        <v>45010</v>
      </c>
    </row>
    <row r="22" spans="2:9" ht="80.099999999999994" customHeight="1" x14ac:dyDescent="0.25">
      <c r="B22" s="3" t="str" cm="1">
        <f t="array" aca="1" ref="B22" ca="1">IF(OR(IFERROR(DAY(C21:I21),0)=15), TEXT(MIN(C21:I21), "mmm")," ")</f>
        <v xml:space="preserve"> </v>
      </c>
      <c r="C22" s="34" t="str">
        <f ca="1">'Support Calendars'!L19</f>
        <v/>
      </c>
      <c r="D22" s="35" t="str">
        <f ca="1">'Support Calendars'!M19</f>
        <v/>
      </c>
      <c r="E22" s="35" t="str">
        <f ca="1">'Support Calendars'!N19</f>
        <v/>
      </c>
      <c r="F22" s="35" t="str">
        <f ca="1">'Support Calendars'!O19</f>
        <v/>
      </c>
      <c r="G22" s="35" t="str">
        <f ca="1">'Support Calendars'!P19</f>
        <v/>
      </c>
      <c r="H22" s="35" t="str">
        <f ca="1">'Support Calendars'!Q19</f>
        <v/>
      </c>
      <c r="I22" s="36" t="str">
        <f ca="1">'Support Calendars'!R19</f>
        <v/>
      </c>
    </row>
    <row r="23" spans="2:9" x14ac:dyDescent="0.25">
      <c r="B23" s="2" t="str" cm="1">
        <f t="array" aca="1" ref="B23" ca="1">IF(OR(IFERROR(DAY(C22:I22),0)=15), TEXT(MIN(C22:I22), "mmm")," ")</f>
        <v xml:space="preserve"> </v>
      </c>
      <c r="C23" s="27">
        <f ca="1">IF('Support Calendars'!C21 &lt;&gt;"", 'Support Calendars'!C21,'Support Calendars'!C20)</f>
        <v>45011</v>
      </c>
      <c r="D23" s="28">
        <f ca="1">IF('Support Calendars'!D21 &lt;&gt; "", 'Support Calendars'!D21,'Support Calendars'!D20)</f>
        <v>45012</v>
      </c>
      <c r="E23" s="28">
        <f ca="1">IF('Support Calendars'!E21 &lt;&gt; "", 'Support Calendars'!E21,'Support Calendars'!E20)</f>
        <v>45013</v>
      </c>
      <c r="F23" s="28">
        <f ca="1">IF('Support Calendars'!F21 &lt;&gt; "", 'Support Calendars'!F21,'Support Calendars'!F20)</f>
        <v>45014</v>
      </c>
      <c r="G23" s="28">
        <f ca="1">IF('Support Calendars'!G21 &lt;&gt; "", 'Support Calendars'!G21,'Support Calendars'!G20)</f>
        <v>45015</v>
      </c>
      <c r="H23" s="28">
        <f ca="1">IF('Support Calendars'!H21 &lt;&gt; "", 'Support Calendars'!H21,'Support Calendars'!H20)</f>
        <v>45016</v>
      </c>
      <c r="I23" s="29">
        <f ca="1">IF('Support Calendars'!I21 &lt;&gt; "", 'Support Calendars'!I21,'Support Calendars'!I20)</f>
        <v>45017</v>
      </c>
    </row>
    <row r="24" spans="2:9" ht="80.099999999999994" customHeight="1" x14ac:dyDescent="0.25">
      <c r="B24" s="3" t="str" cm="1">
        <f t="array" aca="1" ref="B24" ca="1">IF(OR(IFERROR(DAY(C23:I23),0)=15), TEXT(MIN(C23:I23), "mmm")," ")</f>
        <v xml:space="preserve"> </v>
      </c>
      <c r="C24" s="34" t="str">
        <f ca="1">'Support Calendars'!L21</f>
        <v/>
      </c>
      <c r="D24" s="35" t="str">
        <f ca="1">'Support Calendars'!M21</f>
        <v/>
      </c>
      <c r="E24" s="35" t="str">
        <f ca="1">'Support Calendars'!N21</f>
        <v/>
      </c>
      <c r="F24" s="35" t="str">
        <f ca="1">'Support Calendars'!O21</f>
        <v/>
      </c>
      <c r="G24" s="35" t="str">
        <f ca="1">'Support Calendars'!P21</f>
        <v/>
      </c>
      <c r="H24" s="35" t="str">
        <f ca="1">'Support Calendars'!Q21</f>
        <v/>
      </c>
      <c r="I24" s="36" t="str">
        <f ca="1">'Support Calendars'!R21</f>
        <v/>
      </c>
    </row>
    <row r="25" spans="2:9" x14ac:dyDescent="0.25">
      <c r="B25" s="2" t="str" cm="1">
        <f t="array" aca="1" ref="B25" ca="1">IF(OR(IFERROR(DAY(C24:I24),0)=15), TEXT(MIN(C24:I24), "mmm")," ")</f>
        <v xml:space="preserve"> </v>
      </c>
      <c r="C25" s="27">
        <f ca="1">IF('Support Calendars'!C23 &lt;&gt;"", 'Support Calendars'!C23,'Support Calendars'!C22)</f>
        <v>45018</v>
      </c>
      <c r="D25" s="28">
        <f ca="1">IF('Support Calendars'!D23 &lt;&gt; "", 'Support Calendars'!D23,'Support Calendars'!D22)</f>
        <v>45019</v>
      </c>
      <c r="E25" s="28">
        <f ca="1">IF('Support Calendars'!E23 &lt;&gt; "", 'Support Calendars'!E23,'Support Calendars'!E22)</f>
        <v>45020</v>
      </c>
      <c r="F25" s="28">
        <f ca="1">IF('Support Calendars'!F23 &lt;&gt; "", 'Support Calendars'!F23,'Support Calendars'!F22)</f>
        <v>45021</v>
      </c>
      <c r="G25" s="28">
        <f ca="1">IF('Support Calendars'!G23 &lt;&gt; "", 'Support Calendars'!G23,'Support Calendars'!G22)</f>
        <v>45022</v>
      </c>
      <c r="H25" s="28">
        <f ca="1">IF('Support Calendars'!H23 &lt;&gt; "", 'Support Calendars'!H23,'Support Calendars'!H22)</f>
        <v>45023</v>
      </c>
      <c r="I25" s="29">
        <f ca="1">IF('Support Calendars'!I23 &lt;&gt; "", 'Support Calendars'!I23,'Support Calendars'!I22)</f>
        <v>45024</v>
      </c>
    </row>
    <row r="26" spans="2:9" ht="80.099999999999994" customHeight="1" x14ac:dyDescent="0.25">
      <c r="B26" s="3" t="str" cm="1">
        <f t="array" aca="1" ref="B26" ca="1">IF(OR(IFERROR(DAY(C25:I25),0)=15), TEXT(MIN(C25:I25), "mmm")," ")</f>
        <v xml:space="preserve"> </v>
      </c>
      <c r="C26" s="34" t="str">
        <f ca="1">'Support Calendars'!L23</f>
        <v/>
      </c>
      <c r="D26" s="35" t="str">
        <f ca="1">'Support Calendars'!M23</f>
        <v/>
      </c>
      <c r="E26" s="35" t="str">
        <f ca="1">'Support Calendars'!N23</f>
        <v/>
      </c>
      <c r="F26" s="35" t="str">
        <f ca="1">'Support Calendars'!O23</f>
        <v/>
      </c>
      <c r="G26" s="35" t="str">
        <f ca="1">'Support Calendars'!P23</f>
        <v/>
      </c>
      <c r="H26" s="35" t="str">
        <f ca="1">'Support Calendars'!Q23</f>
        <v/>
      </c>
      <c r="I26" s="36" t="str">
        <f ca="1">'Support Calendars'!R23</f>
        <v/>
      </c>
    </row>
    <row r="27" spans="2:9" x14ac:dyDescent="0.25">
      <c r="B27" s="2" t="str" cm="1">
        <f t="array" aca="1" ref="B27" ca="1">IF(OR(IFERROR(DAY(C26:I26),0)=15), TEXT(MIN(C26:I26), "mmm")," ")</f>
        <v xml:space="preserve"> </v>
      </c>
      <c r="C27" s="27">
        <f ca="1">IF('Support Calendars'!C25 &lt;&gt;"", 'Support Calendars'!C25,'Support Calendars'!C24)</f>
        <v>45025</v>
      </c>
      <c r="D27" s="28">
        <f ca="1">IF('Support Calendars'!D25 &lt;&gt; "", 'Support Calendars'!D25,'Support Calendars'!D24)</f>
        <v>45026</v>
      </c>
      <c r="E27" s="28">
        <f ca="1">IF('Support Calendars'!E25 &lt;&gt; "", 'Support Calendars'!E25,'Support Calendars'!E24)</f>
        <v>45027</v>
      </c>
      <c r="F27" s="28">
        <f ca="1">IF('Support Calendars'!F25 &lt;&gt; "", 'Support Calendars'!F25,'Support Calendars'!F24)</f>
        <v>45028</v>
      </c>
      <c r="G27" s="28">
        <f ca="1">IF('Support Calendars'!G25 &lt;&gt; "", 'Support Calendars'!G25,'Support Calendars'!G24)</f>
        <v>45029</v>
      </c>
      <c r="H27" s="28">
        <f ca="1">IF('Support Calendars'!H25 &lt;&gt; "", 'Support Calendars'!H25,'Support Calendars'!H24)</f>
        <v>45030</v>
      </c>
      <c r="I27" s="29">
        <f ca="1">IF('Support Calendars'!I25 &lt;&gt; "", 'Support Calendars'!I25,'Support Calendars'!I24)</f>
        <v>45031</v>
      </c>
    </row>
    <row r="28" spans="2:9" ht="80.099999999999994" customHeight="1" x14ac:dyDescent="0.25">
      <c r="B28" s="3" t="str" cm="1">
        <f t="array" aca="1" ref="B28" ca="1">IF(OR(IFERROR(DAY(C27:I27),0)=15), TEXT(MIN(C27:I27), "mmm")," ")</f>
        <v>Apr</v>
      </c>
      <c r="C28" s="34" t="str">
        <f ca="1">'Support Calendars'!L25</f>
        <v/>
      </c>
      <c r="D28" s="35" t="str">
        <f ca="1">'Support Calendars'!M25</f>
        <v/>
      </c>
      <c r="E28" s="35" t="str">
        <f ca="1">'Support Calendars'!N25</f>
        <v/>
      </c>
      <c r="F28" s="35" t="str">
        <f ca="1">'Support Calendars'!O25</f>
        <v/>
      </c>
      <c r="G28" s="35" t="str">
        <f ca="1">'Support Calendars'!P25</f>
        <v/>
      </c>
      <c r="H28" s="35" t="str">
        <f ca="1">'Support Calendars'!Q25</f>
        <v/>
      </c>
      <c r="I28" s="36" t="str">
        <f ca="1">'Support Calendars'!R25</f>
        <v/>
      </c>
    </row>
    <row r="29" spans="2:9" x14ac:dyDescent="0.25">
      <c r="B29" s="2" t="str" cm="1">
        <f t="array" aca="1" ref="B29" ca="1">IF(OR(IFERROR(DAY(C28:I28),0)=15), TEXT(MIN(C28:I28), "mmm")," ")</f>
        <v xml:space="preserve"> </v>
      </c>
      <c r="C29" s="27">
        <f ca="1">IF('Support Calendars'!C27 &lt;&gt;"", 'Support Calendars'!C27,'Support Calendars'!C26)</f>
        <v>45032</v>
      </c>
      <c r="D29" s="28">
        <f ca="1">IF('Support Calendars'!D27 &lt;&gt; "", 'Support Calendars'!D27,'Support Calendars'!D26)</f>
        <v>45033</v>
      </c>
      <c r="E29" s="28">
        <f ca="1">IF('Support Calendars'!E27 &lt;&gt; "", 'Support Calendars'!E27,'Support Calendars'!E26)</f>
        <v>45034</v>
      </c>
      <c r="F29" s="28">
        <f ca="1">IF('Support Calendars'!F27 &lt;&gt; "", 'Support Calendars'!F27,'Support Calendars'!F26)</f>
        <v>45035</v>
      </c>
      <c r="G29" s="28">
        <f ca="1">IF('Support Calendars'!G27 &lt;&gt; "", 'Support Calendars'!G27,'Support Calendars'!G26)</f>
        <v>45036</v>
      </c>
      <c r="H29" s="28">
        <f ca="1">IF('Support Calendars'!H27 &lt;&gt; "", 'Support Calendars'!H27,'Support Calendars'!H26)</f>
        <v>45037</v>
      </c>
      <c r="I29" s="29">
        <f ca="1">IF('Support Calendars'!I27 &lt;&gt; "", 'Support Calendars'!I27,'Support Calendars'!I26)</f>
        <v>45038</v>
      </c>
    </row>
    <row r="30" spans="2:9" ht="80.099999999999994" customHeight="1" x14ac:dyDescent="0.25">
      <c r="B30" s="3" t="str" cm="1">
        <f t="array" aca="1" ref="B30" ca="1">IF(OR(IFERROR(DAY(C29:I29),0)=15), TEXT(MIN(C29:I29), "mmm")," ")</f>
        <v xml:space="preserve"> </v>
      </c>
      <c r="C30" s="34" t="str">
        <f ca="1">'Support Calendars'!L27</f>
        <v/>
      </c>
      <c r="D30" s="35" t="str">
        <f ca="1">'Support Calendars'!M27</f>
        <v/>
      </c>
      <c r="E30" s="35" t="str">
        <f ca="1">'Support Calendars'!N27</f>
        <v/>
      </c>
      <c r="F30" s="35" t="str">
        <f ca="1">'Support Calendars'!O27</f>
        <v/>
      </c>
      <c r="G30" s="35" t="str">
        <f ca="1">'Support Calendars'!P27</f>
        <v/>
      </c>
      <c r="H30" s="35" t="str">
        <f ca="1">'Support Calendars'!Q27</f>
        <v/>
      </c>
      <c r="I30" s="36" t="str">
        <f ca="1">'Support Calendars'!R27</f>
        <v/>
      </c>
    </row>
    <row r="31" spans="2:9" x14ac:dyDescent="0.25">
      <c r="B31" s="2" t="str" cm="1">
        <f t="array" aca="1" ref="B31" ca="1">IF(OR(IFERROR(DAY(C30:I30),0)=15), TEXT(MIN(C30:I30), "mmm")," ")</f>
        <v xml:space="preserve"> </v>
      </c>
      <c r="C31" s="27">
        <f ca="1">IF('Support Calendars'!C29 &lt;&gt;"", 'Support Calendars'!C29,'Support Calendars'!C28)</f>
        <v>45039</v>
      </c>
      <c r="D31" s="28">
        <f ca="1">IF('Support Calendars'!D29 &lt;&gt; "", 'Support Calendars'!D29,'Support Calendars'!D28)</f>
        <v>45040</v>
      </c>
      <c r="E31" s="28">
        <f ca="1">IF('Support Calendars'!E29 &lt;&gt; "", 'Support Calendars'!E29,'Support Calendars'!E28)</f>
        <v>45041</v>
      </c>
      <c r="F31" s="28">
        <f ca="1">IF('Support Calendars'!F29 &lt;&gt; "", 'Support Calendars'!F29,'Support Calendars'!F28)</f>
        <v>45042</v>
      </c>
      <c r="G31" s="28">
        <f ca="1">IF('Support Calendars'!G29 &lt;&gt; "", 'Support Calendars'!G29,'Support Calendars'!G28)</f>
        <v>45043</v>
      </c>
      <c r="H31" s="28">
        <f ca="1">IF('Support Calendars'!H29 &lt;&gt; "", 'Support Calendars'!H29,'Support Calendars'!H28)</f>
        <v>45044</v>
      </c>
      <c r="I31" s="29">
        <f ca="1">IF('Support Calendars'!I29 &lt;&gt; "", 'Support Calendars'!I29,'Support Calendars'!I28)</f>
        <v>45045</v>
      </c>
    </row>
    <row r="32" spans="2:9" ht="80.099999999999994" customHeight="1" x14ac:dyDescent="0.25">
      <c r="B32" s="3" t="str" cm="1">
        <f t="array" aca="1" ref="B32" ca="1">IF(OR(IFERROR(DAY(C31:I31),0)=15), TEXT(MIN(C31:I31), "mmm")," ")</f>
        <v xml:space="preserve"> </v>
      </c>
      <c r="C32" s="34" t="str">
        <f ca="1">'Support Calendars'!L29</f>
        <v/>
      </c>
      <c r="D32" s="35" t="str">
        <f ca="1">'Support Calendars'!M29</f>
        <v/>
      </c>
      <c r="E32" s="35" t="str">
        <f ca="1">'Support Calendars'!N29</f>
        <v/>
      </c>
      <c r="F32" s="35" t="str">
        <f ca="1">'Support Calendars'!O29</f>
        <v/>
      </c>
      <c r="G32" s="35" t="str">
        <f ca="1">'Support Calendars'!P29</f>
        <v/>
      </c>
      <c r="H32" s="35" t="str">
        <f ca="1">'Support Calendars'!Q29</f>
        <v/>
      </c>
      <c r="I32" s="36" t="str">
        <f ca="1">'Support Calendars'!R29</f>
        <v/>
      </c>
    </row>
    <row r="33" spans="2:9" x14ac:dyDescent="0.25">
      <c r="B33" s="2" t="str" cm="1">
        <f t="array" aca="1" ref="B33" ca="1">IF(OR(IFERROR(DAY(C32:I32),0)=15), TEXT(MIN(C32:I32), "mmm")," ")</f>
        <v xml:space="preserve"> </v>
      </c>
      <c r="C33" s="27">
        <f ca="1">IF('Support Calendars'!C31 &lt;&gt;"", 'Support Calendars'!C31,'Support Calendars'!C30)</f>
        <v>45046</v>
      </c>
      <c r="D33" s="28">
        <f ca="1">IF('Support Calendars'!D31 &lt;&gt; "", 'Support Calendars'!D31,'Support Calendars'!D30)</f>
        <v>45047</v>
      </c>
      <c r="E33" s="28">
        <f ca="1">IF('Support Calendars'!E31 &lt;&gt; "", 'Support Calendars'!E31,'Support Calendars'!E30)</f>
        <v>45048</v>
      </c>
      <c r="F33" s="28">
        <f ca="1">IF('Support Calendars'!F31 &lt;&gt; "", 'Support Calendars'!F31,'Support Calendars'!F30)</f>
        <v>45049</v>
      </c>
      <c r="G33" s="28">
        <f ca="1">IF('Support Calendars'!G31 &lt;&gt; "", 'Support Calendars'!G31,'Support Calendars'!G30)</f>
        <v>45050</v>
      </c>
      <c r="H33" s="28">
        <f ca="1">IF('Support Calendars'!H31 &lt;&gt; "", 'Support Calendars'!H31,'Support Calendars'!H30)</f>
        <v>45051</v>
      </c>
      <c r="I33" s="29">
        <f ca="1">IF('Support Calendars'!I31 &lt;&gt; "", 'Support Calendars'!I31,'Support Calendars'!I30)</f>
        <v>45052</v>
      </c>
    </row>
    <row r="34" spans="2:9" ht="80.099999999999994" customHeight="1" x14ac:dyDescent="0.25">
      <c r="B34" s="4" t="str" cm="1">
        <f t="array" aca="1" ref="B34" ca="1">IF(OR(IFERROR(DAY(C33:I33),0)=15), TEXT(MIN(C33:I33), "mmm")," ")</f>
        <v xml:space="preserve"> </v>
      </c>
      <c r="C34" s="34" t="str">
        <f ca="1">'Support Calendars'!L31</f>
        <v/>
      </c>
      <c r="D34" s="35" t="str">
        <f ca="1">'Support Calendars'!M31</f>
        <v/>
      </c>
      <c r="E34" s="35" t="str">
        <f ca="1">'Support Calendars'!N31</f>
        <v/>
      </c>
      <c r="F34" s="35" t="str">
        <f ca="1">'Support Calendars'!O31</f>
        <v/>
      </c>
      <c r="G34" s="35" t="str">
        <f ca="1">'Support Calendars'!P31</f>
        <v/>
      </c>
      <c r="H34" s="35" t="str">
        <f ca="1">'Support Calendars'!Q31</f>
        <v/>
      </c>
      <c r="I34" s="36" t="str">
        <f ca="1">'Support Calendars'!R31</f>
        <v/>
      </c>
    </row>
  </sheetData>
  <conditionalFormatting sqref="B8 B10 B12 B14 B16 B18 B20 B22 B24 B26 B28 B30 B32">
    <cfRule type="expression" dxfId="19" priority="26">
      <formula>AND((MONTH(C7)&lt;&gt;MONTH(C9)), C7&lt;&gt;0)</formula>
    </cfRule>
  </conditionalFormatting>
  <conditionalFormatting sqref="B10">
    <cfRule type="expression" dxfId="18" priority="25">
      <formula>AND((MONTH($C$7)&lt;&gt;MONTH($C$9)), $C$7&lt;&gt;0)</formula>
    </cfRule>
  </conditionalFormatting>
  <conditionalFormatting sqref="B12">
    <cfRule type="expression" dxfId="17" priority="24">
      <formula>AND((MONTH($C$7)&lt;&gt;MONTH($C$9)), $C$7&lt;&gt;0)</formula>
    </cfRule>
  </conditionalFormatting>
  <conditionalFormatting sqref="B14">
    <cfRule type="expression" dxfId="16" priority="23">
      <formula>AND((MONTH($C$7)&lt;&gt;MONTH($C$9)), $C$7&lt;&gt;0)</formula>
    </cfRule>
  </conditionalFormatting>
  <conditionalFormatting sqref="B16">
    <cfRule type="expression" dxfId="15" priority="22">
      <formula>AND((MONTH($C$7)&lt;&gt;MONTH($C$9)), $C$7&lt;&gt;0)</formula>
    </cfRule>
  </conditionalFormatting>
  <conditionalFormatting sqref="B18">
    <cfRule type="expression" dxfId="14" priority="21">
      <formula>AND((MONTH($C$7)&lt;&gt;MONTH($C$9)), $C$7&lt;&gt;0)</formula>
    </cfRule>
  </conditionalFormatting>
  <conditionalFormatting sqref="C7:I7 C9:I9 C19:I19 C21:I21 C23:I23 C25:I25 C27:I27 C29:I29 C31:I31 C33:I33 C11:I11 C13:I13 C15:I15 C17:I17">
    <cfRule type="expression" dxfId="13" priority="3">
      <formula>C7 = TODAY()</formula>
    </cfRule>
    <cfRule type="expression" dxfId="12" priority="5">
      <formula>C8 &lt;&gt; ""</formula>
    </cfRule>
    <cfRule type="expression" dxfId="11" priority="8">
      <formula>NOT(ISNUMBER(C7))</formula>
    </cfRule>
    <cfRule type="expression" dxfId="10" priority="19">
      <formula>ISEVEN(MONTH(C7))</formula>
    </cfRule>
    <cfRule type="expression" dxfId="9" priority="20">
      <formula>ISODD(MONTH(C7))</formula>
    </cfRule>
  </conditionalFormatting>
  <conditionalFormatting sqref="C8 I8 C10 I10 C12 I12 C14 I14 C16 I16 C18 I18 C20 I20 C22 I22 C24 I24 C26 I26 C28 I28 C30 I30 C32 I32 C34 I34">
    <cfRule type="expression" dxfId="8" priority="11">
      <formula>ISEVEN(MONTH(C7))</formula>
    </cfRule>
    <cfRule type="expression" dxfId="7" priority="13">
      <formula>ISODD(MONTH(C7))</formula>
    </cfRule>
  </conditionalFormatting>
  <conditionalFormatting sqref="C8:I8 C10:I10 C12:I12 C14:I14 C16:I16 C18:I18 C20:I20 C22:I22 C24:I24 C26:I26 C28:I28 C30:I30 C32:I32 C34:I34">
    <cfRule type="expression" dxfId="6" priority="4">
      <formula xml:space="preserve"> C7 = TODAY()</formula>
    </cfRule>
    <cfRule type="expression" dxfId="5" priority="6">
      <formula>C8 &lt;&gt; ""</formula>
    </cfRule>
    <cfRule type="expression" dxfId="4" priority="10">
      <formula>NOT(ISNUMBER(C7))</formula>
    </cfRule>
  </conditionalFormatting>
  <dataValidations count="2">
    <dataValidation type="list" allowBlank="1" showInputMessage="1" showErrorMessage="1" sqref="D4" xr:uid="{FA043778-7531-4D66-98F0-EDF1A14BDB04}">
      <formula1>"January, February, March, April, May, June, July, August, October, November, Decembe, Current"</formula1>
    </dataValidation>
    <dataValidation type="list" allowBlank="1" showInputMessage="1" showErrorMessage="1" sqref="O7" xr:uid="{6C47835B-B8A7-4168-A6A6-68C022168181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Add_Event">
                <anchor moveWithCells="1">
                  <from>
                    <xdr:col>17</xdr:col>
                    <xdr:colOff>180975</xdr:colOff>
                    <xdr:row>7</xdr:row>
                    <xdr:rowOff>180975</xdr:rowOff>
                  </from>
                  <to>
                    <xdr:col>18</xdr:col>
                    <xdr:colOff>428625</xdr:colOff>
                    <xdr:row>7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Add_Yearly_Event">
                <anchor moveWithCells="1">
                  <from>
                    <xdr:col>18</xdr:col>
                    <xdr:colOff>657225</xdr:colOff>
                    <xdr:row>7</xdr:row>
                    <xdr:rowOff>180975</xdr:rowOff>
                  </from>
                  <to>
                    <xdr:col>19</xdr:col>
                    <xdr:colOff>28575</xdr:colOff>
                    <xdr:row>7</xdr:row>
                    <xdr:rowOff>866775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00000000-000E-0000-0000-00000C000000}">
            <xm:f>MONTH(C9+'Support Calendars'!C6)&lt;&gt;MONTH('Support Calendars'!D6)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C9:H9 C19:H19 C21:H21 C23:H23 C25:H25 C27:H27 C29:H29 C31:H31 C33:H33 C11:H11 C13:H13 C15:H15 C17:H17</xm:sqref>
        </x14:conditionalFormatting>
        <x14:conditionalFormatting xmlns:xm="http://schemas.microsoft.com/office/excel/2006/main">
          <x14:cfRule type="expression" priority="15" id="{00000000-000E-0000-0000-00000B000000}">
            <xm:f>MONTH('Support Calendars'!C6) &lt;&gt; MONTH('Support Calendars'!D6)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C10:H10 C12:H12 C14:H14 C16:H16 C18:H18 C20:H20 C22:H22 C24:H24 C26:H26 C28:H28 C30:H30 C32:H32 C34:H34</xm:sqref>
        </x14:conditionalFormatting>
        <x14:conditionalFormatting xmlns:xm="http://schemas.microsoft.com/office/excel/2006/main">
          <x14:cfRule type="expression" priority="14" id="{00000000-000E-0000-0000-00000A000000}">
            <xm:f>MONTH('Support Calendars'!C6) &lt;&gt; MONTH('Support Calendars'!C8)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H17 C10:I10 C12:I12 C14:I14 C16:I16 C18:I18 C20:I20 C22:I22 C24:I24 C26:I26 C28:I28 C30:I30 C32:I32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3A2B-5B5E-4B52-88A0-C76321673EFD}">
  <sheetPr codeName="Sheet2"/>
  <dimension ref="B2:W24"/>
  <sheetViews>
    <sheetView showGridLines="0" tabSelected="1" workbookViewId="0">
      <selection activeCell="F8" sqref="F8"/>
    </sheetView>
  </sheetViews>
  <sheetFormatPr defaultRowHeight="15" x14ac:dyDescent="0.25"/>
  <cols>
    <col min="1" max="2" width="9.140625" style="45"/>
    <col min="3" max="3" width="16.42578125" style="45" customWidth="1"/>
    <col min="4" max="5" width="12.85546875" style="45" customWidth="1"/>
    <col min="6" max="6" width="20.7109375" style="45" customWidth="1"/>
    <col min="7" max="7" width="20.7109375" style="45" hidden="1" customWidth="1"/>
    <col min="8" max="8" width="20.7109375" style="45" customWidth="1"/>
    <col min="9" max="9" width="45.7109375" style="45" customWidth="1"/>
    <col min="10" max="15" width="9.140625" style="45"/>
    <col min="16" max="16" width="18.42578125" style="45" customWidth="1"/>
    <col min="17" max="17" width="16.5703125" style="45" bestFit="1" customWidth="1"/>
    <col min="18" max="18" width="17.42578125" style="45" customWidth="1"/>
    <col min="19" max="20" width="9.140625" style="45"/>
    <col min="21" max="21" width="10.7109375" style="45" bestFit="1" customWidth="1"/>
    <col min="22" max="22" width="9.140625" style="45"/>
    <col min="23" max="23" width="9.7109375" style="45" bestFit="1" customWidth="1"/>
    <col min="24" max="16384" width="9.140625" style="45"/>
  </cols>
  <sheetData>
    <row r="2" spans="2:23" x14ac:dyDescent="0.25">
      <c r="B2" s="85" t="s">
        <v>53</v>
      </c>
      <c r="C2" s="85"/>
      <c r="E2" s="62"/>
      <c r="P2" s="84" t="s">
        <v>64</v>
      </c>
      <c r="Q2" s="84"/>
    </row>
    <row r="3" spans="2:23" x14ac:dyDescent="0.25">
      <c r="B3" s="5" t="s">
        <v>62</v>
      </c>
      <c r="C3" s="5" t="s">
        <v>54</v>
      </c>
      <c r="D3" s="5" t="s">
        <v>55</v>
      </c>
      <c r="E3" s="5" t="s">
        <v>59</v>
      </c>
      <c r="F3" s="5" t="s">
        <v>56</v>
      </c>
      <c r="G3" s="5" t="s">
        <v>61</v>
      </c>
      <c r="H3" s="5" t="s">
        <v>57</v>
      </c>
      <c r="I3" t="s">
        <v>58</v>
      </c>
      <c r="P3" s="63" t="s">
        <v>10</v>
      </c>
      <c r="Q3" s="64" t="s">
        <v>11</v>
      </c>
      <c r="R3" s="65" t="s">
        <v>12</v>
      </c>
      <c r="S3" s="65" t="s">
        <v>7</v>
      </c>
      <c r="T3" s="65" t="s">
        <v>13</v>
      </c>
      <c r="U3" s="66" t="s">
        <v>15</v>
      </c>
    </row>
    <row r="4" spans="2:23" x14ac:dyDescent="0.25">
      <c r="B4" s="33">
        <f>ROW() - ROW(Events[[#Headers],[Entry]])</f>
        <v>1</v>
      </c>
      <c r="C4" s="30">
        <v>45084</v>
      </c>
      <c r="D4" s="30">
        <v>1213860</v>
      </c>
      <c r="E4" s="5" t="s">
        <v>60</v>
      </c>
      <c r="F4" s="31" t="s">
        <v>71</v>
      </c>
      <c r="G4" s="86" t="str">
        <f>IF(E4="No","1,2,3,4,5,6,7",IF(F4="WD","2,3,4,5,6",IF(F4="WE","1,7",IF(F4="A","1,2,3,4,5,6,7",SUBSTITUTE(SUBSTITUTE(SUBSTITUTE(SUBSTITUTE(SUBSTITUTE(SUBSTITUTE(SUBSTITUTE(F4,"Su","1"),"M","2"),"Tu","3"),"W","4"),"Th","5"),"F","6"),"Sa","7")))))</f>
        <v>1,2,3,4,5,6,7</v>
      </c>
      <c r="H4" s="31" t="s">
        <v>70</v>
      </c>
      <c r="I4" s="60" t="s">
        <v>72</v>
      </c>
      <c r="P4" s="51" t="s">
        <v>14</v>
      </c>
      <c r="Q4" s="52" t="s">
        <v>16</v>
      </c>
      <c r="R4" s="53">
        <v>1</v>
      </c>
      <c r="S4" s="53">
        <v>1</v>
      </c>
      <c r="T4" s="53">
        <f t="shared" ref="T4:T21" ca="1" si="0">Year</f>
        <v>2023</v>
      </c>
      <c r="U4" s="54">
        <f t="shared" ref="U4:U9" ca="1" si="1">DATE(T4,S4,R4)</f>
        <v>44927</v>
      </c>
    </row>
    <row r="5" spans="2:23" ht="30" x14ac:dyDescent="0.25">
      <c r="B5" s="33">
        <f>ROW() - ROW(Events[[#Headers],[Entry]])</f>
        <v>2</v>
      </c>
      <c r="C5" s="30">
        <v>44975</v>
      </c>
      <c r="D5" s="30">
        <v>44975</v>
      </c>
      <c r="E5" s="5" t="s">
        <v>60</v>
      </c>
      <c r="F5" s="31" t="s">
        <v>71</v>
      </c>
      <c r="G5" s="86" t="str">
        <f>IF(E5="No","1,2,3,4,5,6,7",IF(F5="WD","2,3,4,5,6",IF(F5="WE","1,7",IF(F5="A","1,2,3,4,5,6,7",SUBSTITUTE(SUBSTITUTE(SUBSTITUTE(SUBSTITUTE(SUBSTITUTE(SUBSTITUTE(SUBSTITUTE(F5,"Su","1"),"M","2"),"Tu","3"),"W","4"),"Th","5"),"F","6"),"Sa","7")))))</f>
        <v>1,2,3,4,5,6,7</v>
      </c>
      <c r="H5" s="31" t="s">
        <v>73</v>
      </c>
      <c r="I5" s="60" t="s">
        <v>74</v>
      </c>
      <c r="P5" s="55" t="s">
        <v>18</v>
      </c>
      <c r="Q5" s="56" t="s">
        <v>34</v>
      </c>
      <c r="R5" s="57">
        <f ca="1">DAY(DATE(T5,S5,1 + 7 * 2) - WEEKDAY(DATE(T5,S5,8-1), 1))</f>
        <v>8</v>
      </c>
      <c r="S5" s="57">
        <v>1</v>
      </c>
      <c r="T5" s="57">
        <f t="shared" ca="1" si="0"/>
        <v>2023</v>
      </c>
      <c r="U5" s="58">
        <f t="shared" ca="1" si="1"/>
        <v>44934</v>
      </c>
    </row>
    <row r="6" spans="2:23" x14ac:dyDescent="0.25">
      <c r="P6" s="51" t="s">
        <v>19</v>
      </c>
      <c r="Q6" s="52" t="s">
        <v>20</v>
      </c>
      <c r="R6" s="53">
        <v>14</v>
      </c>
      <c r="S6" s="53">
        <v>2</v>
      </c>
      <c r="T6" s="53">
        <f t="shared" ca="1" si="0"/>
        <v>2023</v>
      </c>
      <c r="U6" s="54">
        <f t="shared" ca="1" si="1"/>
        <v>44971</v>
      </c>
    </row>
    <row r="7" spans="2:23" ht="30" x14ac:dyDescent="0.25">
      <c r="P7" s="55" t="s">
        <v>17</v>
      </c>
      <c r="Q7" s="56" t="s">
        <v>21</v>
      </c>
      <c r="R7" s="57">
        <f ca="1">DAY(DATE(T7,S7,1 + 7 * 3) - WEEKDAY(DATE(T7,S7,8-2), 1))</f>
        <v>20</v>
      </c>
      <c r="S7" s="57">
        <v>2</v>
      </c>
      <c r="T7" s="57">
        <f t="shared" ca="1" si="0"/>
        <v>2023</v>
      </c>
      <c r="U7" s="58">
        <f t="shared" ca="1" si="1"/>
        <v>44977</v>
      </c>
    </row>
    <row r="8" spans="2:23" ht="30" x14ac:dyDescent="0.25">
      <c r="P8" s="51" t="s">
        <v>24</v>
      </c>
      <c r="Q8" s="52" t="s">
        <v>25</v>
      </c>
      <c r="R8" s="53">
        <f ca="1">DAY(DATE(T8,S8,1 + 7 * 2) - WEEKDAY(DATE(T8,S8,8-1), 1))</f>
        <v>14</v>
      </c>
      <c r="S8" s="53">
        <v>5</v>
      </c>
      <c r="T8" s="53">
        <f t="shared" ca="1" si="0"/>
        <v>2023</v>
      </c>
      <c r="U8" s="54">
        <f t="shared" ca="1" si="1"/>
        <v>45060</v>
      </c>
    </row>
    <row r="9" spans="2:23" ht="30" x14ac:dyDescent="0.25">
      <c r="P9" s="55" t="s">
        <v>22</v>
      </c>
      <c r="Q9" s="56" t="s">
        <v>23</v>
      </c>
      <c r="R9" s="57">
        <f ca="1">DAY(2 + EOMONTH(DATE(T9,S9,1), 0) - WEEKDAY(EOMONTH(DATE(T9,S9,1), 0), 1))</f>
        <v>29</v>
      </c>
      <c r="S9" s="57">
        <v>5</v>
      </c>
      <c r="T9" s="57">
        <f t="shared" ca="1" si="0"/>
        <v>2023</v>
      </c>
      <c r="U9" s="58">
        <f t="shared" ca="1" si="1"/>
        <v>45075</v>
      </c>
    </row>
    <row r="10" spans="2:23" ht="30" x14ac:dyDescent="0.25">
      <c r="P10" s="51" t="s">
        <v>30</v>
      </c>
      <c r="Q10" s="52" t="s">
        <v>31</v>
      </c>
      <c r="R10" s="53">
        <f ca="1">DAY(DATE(T10,S10, 1 + 7 * 3) - WEEKDAY(DATE(T10,S10,8-1), 1))</f>
        <v>18</v>
      </c>
      <c r="S10" s="53">
        <v>6</v>
      </c>
      <c r="T10" s="53">
        <f t="shared" ca="1" si="0"/>
        <v>2023</v>
      </c>
      <c r="U10" s="54">
        <f t="shared" ref="U10" ca="1" si="2">DATE(T10,S10,R10)</f>
        <v>45095</v>
      </c>
    </row>
    <row r="11" spans="2:23" x14ac:dyDescent="0.25">
      <c r="P11" s="55" t="s">
        <v>26</v>
      </c>
      <c r="Q11" s="56" t="s">
        <v>27</v>
      </c>
      <c r="R11" s="57">
        <v>19</v>
      </c>
      <c r="S11" s="57">
        <v>6</v>
      </c>
      <c r="T11" s="57">
        <f t="shared" ca="1" si="0"/>
        <v>2023</v>
      </c>
      <c r="U11" s="58">
        <f t="shared" ref="U11" ca="1" si="3">DATE(T11,S11,R11)</f>
        <v>45096</v>
      </c>
      <c r="W11" s="61"/>
    </row>
    <row r="12" spans="2:23" x14ac:dyDescent="0.25">
      <c r="P12" s="51" t="s">
        <v>29</v>
      </c>
      <c r="Q12" s="52" t="s">
        <v>28</v>
      </c>
      <c r="R12" s="53">
        <v>4</v>
      </c>
      <c r="S12" s="53">
        <v>7</v>
      </c>
      <c r="T12" s="53">
        <f t="shared" ca="1" si="0"/>
        <v>2023</v>
      </c>
      <c r="U12" s="54">
        <f t="shared" ref="U12" ca="1" si="4">DATE(T12,S12,R12)</f>
        <v>45111</v>
      </c>
    </row>
    <row r="13" spans="2:23" ht="30" x14ac:dyDescent="0.25">
      <c r="P13" s="55" t="s">
        <v>32</v>
      </c>
      <c r="Q13" s="56" t="s">
        <v>33</v>
      </c>
      <c r="R13" s="57">
        <f ca="1">DAY(DATE(T13,S13,1 + 7 * 1) - WEEKDAY(DATE(T13,S13,8-2), 1))</f>
        <v>4</v>
      </c>
      <c r="S13" s="57">
        <v>9</v>
      </c>
      <c r="T13" s="57">
        <f t="shared" ca="1" si="0"/>
        <v>2023</v>
      </c>
      <c r="U13" s="58">
        <f t="shared" ref="U13" ca="1" si="5">DATE(T13,S13,R13)</f>
        <v>45173</v>
      </c>
    </row>
    <row r="14" spans="2:23" ht="30" x14ac:dyDescent="0.25">
      <c r="P14" s="51" t="s">
        <v>35</v>
      </c>
      <c r="Q14" s="52" t="s">
        <v>36</v>
      </c>
      <c r="R14" s="53">
        <f ca="1">DAY(DATE(T14,S14,1 + 7 * 2) - WEEKDAY(DATE(T14,S14,8-2), 1))</f>
        <v>9</v>
      </c>
      <c r="S14" s="53">
        <v>10</v>
      </c>
      <c r="T14" s="53">
        <f t="shared" ca="1" si="0"/>
        <v>2023</v>
      </c>
      <c r="U14" s="54">
        <f t="shared" ref="U14:U15" ca="1" si="6">DATE(T14,S14,R14)</f>
        <v>45208</v>
      </c>
    </row>
    <row r="15" spans="2:23" x14ac:dyDescent="0.25">
      <c r="P15" s="55" t="s">
        <v>37</v>
      </c>
      <c r="Q15" s="56" t="s">
        <v>38</v>
      </c>
      <c r="R15" s="57">
        <v>31</v>
      </c>
      <c r="S15" s="57">
        <v>10</v>
      </c>
      <c r="T15" s="57">
        <f t="shared" ca="1" si="0"/>
        <v>2023</v>
      </c>
      <c r="U15" s="58">
        <f t="shared" ca="1" si="6"/>
        <v>45230</v>
      </c>
    </row>
    <row r="16" spans="2:23" x14ac:dyDescent="0.25">
      <c r="P16" s="51" t="s">
        <v>39</v>
      </c>
      <c r="Q16" s="52" t="s">
        <v>40</v>
      </c>
      <c r="R16" s="53">
        <v>11</v>
      </c>
      <c r="S16" s="53">
        <v>11</v>
      </c>
      <c r="T16" s="53">
        <f t="shared" ca="1" si="0"/>
        <v>2023</v>
      </c>
      <c r="U16" s="54">
        <f t="shared" ref="U16:U17" ca="1" si="7">DATE(T16,S16,R16)</f>
        <v>45241</v>
      </c>
    </row>
    <row r="17" spans="16:21" ht="30" x14ac:dyDescent="0.25">
      <c r="P17" s="55" t="s">
        <v>41</v>
      </c>
      <c r="Q17" s="56" t="s">
        <v>42</v>
      </c>
      <c r="R17" s="57">
        <f ca="1">DAY(EOMONTH(DATE(T17,S17,1), 0) - WEEKDAY(EOMONTH(DATE(T17,S17,1), 0) - 5, 1))</f>
        <v>23</v>
      </c>
      <c r="S17" s="57">
        <v>11</v>
      </c>
      <c r="T17" s="57">
        <f t="shared" ca="1" si="0"/>
        <v>2023</v>
      </c>
      <c r="U17" s="58">
        <f t="shared" ca="1" si="7"/>
        <v>45253</v>
      </c>
    </row>
    <row r="18" spans="16:21" ht="30" x14ac:dyDescent="0.25">
      <c r="P18" s="51" t="s">
        <v>43</v>
      </c>
      <c r="Q18" s="52" t="s">
        <v>44</v>
      </c>
      <c r="R18" s="53">
        <f ca="1">DAY(U18)</f>
        <v>24</v>
      </c>
      <c r="S18" s="53">
        <f ca="1">MONTH(U18)</f>
        <v>11</v>
      </c>
      <c r="T18" s="53">
        <f ca="1">YEAR(U18)</f>
        <v>2023</v>
      </c>
      <c r="U18" s="54">
        <f ca="1">U17+1</f>
        <v>45254</v>
      </c>
    </row>
    <row r="19" spans="16:21" x14ac:dyDescent="0.25">
      <c r="P19" s="55" t="s">
        <v>45</v>
      </c>
      <c r="Q19" s="56" t="s">
        <v>46</v>
      </c>
      <c r="R19" s="57">
        <v>24</v>
      </c>
      <c r="S19" s="57">
        <v>12</v>
      </c>
      <c r="T19" s="57">
        <f t="shared" ca="1" si="0"/>
        <v>2023</v>
      </c>
      <c r="U19" s="58">
        <f t="shared" ref="U19:U22" ca="1" si="8">DATE(T19,S19,R19)</f>
        <v>45284</v>
      </c>
    </row>
    <row r="20" spans="16:21" x14ac:dyDescent="0.25">
      <c r="P20" s="51" t="s">
        <v>47</v>
      </c>
      <c r="Q20" s="52" t="s">
        <v>48</v>
      </c>
      <c r="R20" s="53">
        <v>25</v>
      </c>
      <c r="S20" s="53">
        <v>12</v>
      </c>
      <c r="T20" s="53">
        <f t="shared" ca="1" si="0"/>
        <v>2023</v>
      </c>
      <c r="U20" s="54">
        <f t="shared" ca="1" si="8"/>
        <v>45285</v>
      </c>
    </row>
    <row r="21" spans="16:21" x14ac:dyDescent="0.25">
      <c r="P21" s="55" t="s">
        <v>49</v>
      </c>
      <c r="Q21" s="56" t="s">
        <v>50</v>
      </c>
      <c r="R21" s="57">
        <v>31</v>
      </c>
      <c r="S21" s="57">
        <v>12</v>
      </c>
      <c r="T21" s="57">
        <f t="shared" ca="1" si="0"/>
        <v>2023</v>
      </c>
      <c r="U21" s="58">
        <f t="shared" ca="1" si="8"/>
        <v>45291</v>
      </c>
    </row>
    <row r="22" spans="16:21" x14ac:dyDescent="0.25">
      <c r="P22" s="51" t="s">
        <v>51</v>
      </c>
      <c r="Q22" s="52" t="s">
        <v>52</v>
      </c>
      <c r="R22" s="53">
        <v>1</v>
      </c>
      <c r="S22" s="53">
        <v>1</v>
      </c>
      <c r="T22" s="53">
        <f ca="1">Year + 1</f>
        <v>2024</v>
      </c>
      <c r="U22" s="54">
        <f t="shared" ca="1" si="8"/>
        <v>45292</v>
      </c>
    </row>
    <row r="23" spans="16:21" x14ac:dyDescent="0.25">
      <c r="P23" s="51" t="s">
        <v>65</v>
      </c>
      <c r="Q23" s="59">
        <v>44841</v>
      </c>
      <c r="R23" s="53">
        <v>7</v>
      </c>
      <c r="S23" s="53">
        <v>10</v>
      </c>
      <c r="T23" s="53">
        <f t="shared" ref="T23:T24" ca="1" si="9">Year</f>
        <v>2023</v>
      </c>
      <c r="U23" s="54">
        <f t="shared" ref="U23:U24" ca="1" si="10">DATE(T23,S23,R23)</f>
        <v>45206</v>
      </c>
    </row>
    <row r="24" spans="16:21" x14ac:dyDescent="0.25">
      <c r="P24" s="51" t="s">
        <v>66</v>
      </c>
      <c r="Q24" s="59">
        <v>44953</v>
      </c>
      <c r="R24" s="53">
        <v>27</v>
      </c>
      <c r="S24" s="53">
        <v>1</v>
      </c>
      <c r="T24" s="53">
        <f t="shared" ca="1" si="9"/>
        <v>2023</v>
      </c>
      <c r="U24" s="54">
        <f t="shared" ca="1" si="10"/>
        <v>44953</v>
      </c>
    </row>
  </sheetData>
  <mergeCells count="2">
    <mergeCell ref="P2:Q2"/>
    <mergeCell ref="B2:C2"/>
  </mergeCells>
  <phoneticPr fontId="6" type="noConversion"/>
  <conditionalFormatting sqref="B4:I5">
    <cfRule type="expression" dxfId="0" priority="1">
      <formula xml:space="preserve"> $D4 &lt;TODAY()</formula>
    </cfRule>
  </conditionalFormatting>
  <dataValidations count="1">
    <dataValidation type="list" allowBlank="1" showInputMessage="1" showErrorMessage="1" sqref="E4:E5" xr:uid="{4586A314-EA76-45E8-801C-85136B2A1DC3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_Old_Event">
                <anchor moveWithCells="1" sizeWithCells="1">
                  <from>
                    <xdr:col>9</xdr:col>
                    <xdr:colOff>590550</xdr:colOff>
                    <xdr:row>3</xdr:row>
                    <xdr:rowOff>66675</xdr:rowOff>
                  </from>
                  <to>
                    <xdr:col>13</xdr:col>
                    <xdr:colOff>381000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17B6F-1850-44FD-B4CB-27EC6D3A613F}">
  <sheetPr codeName="Sheet3"/>
  <dimension ref="B2:AJ31"/>
  <sheetViews>
    <sheetView workbookViewId="0">
      <selection activeCell="U4" sqref="U4"/>
    </sheetView>
  </sheetViews>
  <sheetFormatPr defaultRowHeight="15" x14ac:dyDescent="0.25"/>
  <cols>
    <col min="14" max="14" width="10.42578125" customWidth="1"/>
    <col min="21" max="21" width="17.140625" customWidth="1"/>
  </cols>
  <sheetData>
    <row r="2" spans="2:36" x14ac:dyDescent="0.25">
      <c r="C2" t="s">
        <v>8</v>
      </c>
      <c r="D2">
        <f ca="1">Month_Num</f>
        <v>2</v>
      </c>
      <c r="E2" t="s">
        <v>9</v>
      </c>
      <c r="F2">
        <f ca="1">Year</f>
        <v>2023</v>
      </c>
      <c r="L2" t="s">
        <v>8</v>
      </c>
      <c r="M2">
        <f ca="1">Month_Num</f>
        <v>2</v>
      </c>
      <c r="N2" t="s">
        <v>9</v>
      </c>
      <c r="O2">
        <f ca="1">Year</f>
        <v>2023</v>
      </c>
      <c r="U2" t="s">
        <v>8</v>
      </c>
      <c r="V2">
        <f ca="1">Print!P5</f>
        <v>2</v>
      </c>
      <c r="W2" t="s">
        <v>9</v>
      </c>
      <c r="X2">
        <f ca="1">Print!O6</f>
        <v>2023</v>
      </c>
      <c r="AD2" t="s">
        <v>8</v>
      </c>
      <c r="AE2">
        <f ca="1">Print!P5</f>
        <v>2</v>
      </c>
      <c r="AF2" t="s">
        <v>9</v>
      </c>
      <c r="AG2">
        <f ca="1">Print!O6</f>
        <v>2023</v>
      </c>
    </row>
    <row r="3" spans="2:36" x14ac:dyDescent="0.25">
      <c r="B3" s="6" t="s">
        <v>7</v>
      </c>
      <c r="C3" s="7" t="s">
        <v>1</v>
      </c>
      <c r="D3" s="7" t="s">
        <v>0</v>
      </c>
      <c r="E3" s="7" t="s">
        <v>2</v>
      </c>
      <c r="F3" s="7" t="s">
        <v>4</v>
      </c>
      <c r="G3" s="7" t="s">
        <v>3</v>
      </c>
      <c r="H3" s="7" t="s">
        <v>5</v>
      </c>
      <c r="I3" s="8" t="s">
        <v>6</v>
      </c>
      <c r="K3" s="6" t="s">
        <v>7</v>
      </c>
      <c r="L3" s="7" t="s">
        <v>1</v>
      </c>
      <c r="M3" s="7" t="s">
        <v>0</v>
      </c>
      <c r="N3" s="7" t="s">
        <v>2</v>
      </c>
      <c r="O3" s="7" t="s">
        <v>4</v>
      </c>
      <c r="P3" s="7" t="s">
        <v>3</v>
      </c>
      <c r="Q3" s="7" t="s">
        <v>5</v>
      </c>
      <c r="R3" s="8" t="s">
        <v>6</v>
      </c>
      <c r="T3" s="6" t="s">
        <v>7</v>
      </c>
      <c r="U3" s="7" t="s">
        <v>1</v>
      </c>
      <c r="V3" s="7" t="s">
        <v>0</v>
      </c>
      <c r="W3" s="7" t="s">
        <v>2</v>
      </c>
      <c r="X3" s="7" t="s">
        <v>4</v>
      </c>
      <c r="Y3" s="7" t="s">
        <v>3</v>
      </c>
      <c r="Z3" s="7" t="s">
        <v>5</v>
      </c>
      <c r="AA3" s="8" t="s">
        <v>6</v>
      </c>
      <c r="AC3" s="6" t="s">
        <v>7</v>
      </c>
      <c r="AD3" s="7" t="s">
        <v>1</v>
      </c>
      <c r="AE3" s="7" t="s">
        <v>0</v>
      </c>
      <c r="AF3" s="7" t="s">
        <v>2</v>
      </c>
      <c r="AG3" s="7" t="s">
        <v>4</v>
      </c>
      <c r="AH3" s="7" t="s">
        <v>3</v>
      </c>
      <c r="AI3" s="7" t="s">
        <v>5</v>
      </c>
      <c r="AJ3" s="8" t="s">
        <v>6</v>
      </c>
    </row>
    <row r="4" spans="2:36" x14ac:dyDescent="0.25">
      <c r="B4" s="9"/>
      <c r="C4" s="11">
        <f ca="1">IF(WEEKDAY(DATE($F$2,Month_Num,1), 1) = 1, DATE($F$2,Month_Num,1), 0)</f>
        <v>0</v>
      </c>
      <c r="D4" s="13">
        <f ca="1">IF(C4 = 0, IF(WEEKDAY(DATE($F$2,Month_Num,1), 1) = 2, DATE($F$2,Month_Num,1), 0), C4 + 1)</f>
        <v>0</v>
      </c>
      <c r="E4" s="14">
        <f ca="1">IF(D4 = 0, IF(WEEKDAY(DATE($F$2,Month_Num,1), 1) = 3, DATE($F$2,Month_Num,1), 0), D4 + 1)</f>
        <v>0</v>
      </c>
      <c r="F4" s="14">
        <f ca="1">IF(E4 = 0, IF(WEEKDAY(DATE($F$2,Month_Num,1), 1) = 4, DATE($F$2,Month_Num,1), 0), E4 + 1)</f>
        <v>44958</v>
      </c>
      <c r="G4" s="14">
        <f ca="1">IF(F4 = 0, IF(WEEKDAY(DATE($F$2,Month_Num,1), 1) = 5, DATE($F$2,Month_Num,1), 0), F4 + 1)</f>
        <v>44959</v>
      </c>
      <c r="H4" s="15">
        <f ca="1">IF(G4 = 0, IF(WEEKDAY(DATE($F$2,Month_Num,1), 1) = 6, DATE($F$2,Month_Num,1), 0), G4 + 1)</f>
        <v>44960</v>
      </c>
      <c r="I4" s="11">
        <f ca="1">IF(H4 = 0, IF(WEEKDAY(DATE($F$2,Month_Num,1), 1) = 7, DATE($F$2,Month_Num,1), 0), H4 + 1)</f>
        <v>44961</v>
      </c>
      <c r="K4" s="9"/>
      <c r="L4" s="11">
        <f ca="1">IF(WEEKDAY(DATE($F$2,Month_Num,1), 1) = 1, DATE($F$2,Month_Num,1), 0)</f>
        <v>0</v>
      </c>
      <c r="M4" s="13">
        <f ca="1">IF(L4 = 0, IF(WEEKDAY(DATE($F$2,Month_Num,1), 1) = 2, DATE($F$2,Month_Num,1), 0), L4 + 1)</f>
        <v>0</v>
      </c>
      <c r="N4" s="14">
        <f ca="1">IF(M4 = 0, IF(WEEKDAY(DATE($F$2,Month_Num,1), 1) = 3, DATE($F$2,Month_Num,1), 0), M4 + 1)</f>
        <v>0</v>
      </c>
      <c r="O4" s="14">
        <f ca="1">IF(N4 = 0, IF(WEEKDAY(DATE($F$2,Month_Num,1), 1) = 4, DATE($F$2,Month_Num,1), 0), N4 + 1)</f>
        <v>44958</v>
      </c>
      <c r="P4" s="14">
        <f ca="1">IF(O4 = 0, IF(WEEKDAY(DATE($F$2,Month_Num,1), 1) = 5, DATE($F$2,Month_Num,1), 0), O4 + 1)</f>
        <v>44959</v>
      </c>
      <c r="Q4" s="15">
        <f ca="1">IF(P4 = 0, IF(WEEKDAY(DATE($F$2,Month_Num,1), 1) = 6, DATE($F$2,Month_Num,1), 0), P4 + 1)</f>
        <v>44960</v>
      </c>
      <c r="R4" s="11">
        <f ca="1">IF(Q4 = 0, IF(WEEKDAY(DATE($F$2,Month_Num,1), 1) = 7, DATE($F$2,Month_Num,1), 0), Q4 + 1)</f>
        <v>44961</v>
      </c>
      <c r="T4" s="9"/>
      <c r="U4" s="11">
        <f ca="1">IF(WEEKDAY(DATE($X$2,$V$2,1), 1) = 1, DATE($X$2,$V$2,1), 0)</f>
        <v>0</v>
      </c>
      <c r="V4" s="13">
        <f ca="1">IF(U4 = 0, IF(WEEKDAY(DATE($X$2,$V$2,1), 1) = 2, DATE($X$2,$V$2,1), 0), U4 + 1)</f>
        <v>0</v>
      </c>
      <c r="W4" s="14">
        <f ca="1">IF(V4 = 0, IF(WEEKDAY(DATE($X$2,$V$2,1), 1) = 3, DATE($X$2,$V$2,1), 0), V4 + 1)</f>
        <v>0</v>
      </c>
      <c r="X4" s="14">
        <f ca="1">IF(W4 = 0, IF(WEEKDAY(DATE($X$2,$V$2,1), 1) = 4, DATE($X$2,$V$2,1), 0), W4 + 1)</f>
        <v>44958</v>
      </c>
      <c r="Y4" s="14">
        <f ca="1">IF(X4 = 0, IF(WEEKDAY(DATE($X$2,$V$2,1), 1) = 5, DATE($X$2,$V$2,1), 0), X4 + 1)</f>
        <v>44959</v>
      </c>
      <c r="Z4" s="15">
        <f ca="1">IF(Y4 = 0, IF(WEEKDAY(DATE($X$2,$V$2,1), 1) = 6, DATE($X$2,$V$2,1), 0), Y4 + 1)</f>
        <v>44960</v>
      </c>
      <c r="AA4" s="11">
        <f ca="1">IF(Z4 = 0, IF(WEEKDAY(DATE($X$2,$V$2,1), 1) = 7, DATE($X$2,$V$2,1), 0), Z4 + 1)</f>
        <v>44961</v>
      </c>
      <c r="AC4" s="9"/>
      <c r="AD4" s="11">
        <f ca="1">IF(WEEKDAY(DATE($F$2,$AE$2,1), 1) = 1, DATE($F$2,$AE$2,1), 0)</f>
        <v>0</v>
      </c>
      <c r="AE4" s="13">
        <f ca="1">IF(AD4 = 0, IF(WEEKDAY(DATE($F$2,$AE$2,1), 1) = 2, DATE($F$2,$AE$2,1), 0), AD4 + 1)</f>
        <v>0</v>
      </c>
      <c r="AF4" s="14">
        <f ca="1">IF(AE4 = 0, IF(WEEKDAY(DATE($F$2,$AE$2,1), 1) = 3, DATE($F$2,$AE$2,1), 0), AE4 + 1)</f>
        <v>0</v>
      </c>
      <c r="AG4" s="14">
        <f ca="1">IF(AF4 = 0, IF(WEEKDAY(DATE($F$2,$AE$2,1), 1) = 4, DATE($F$2,$AE$2,1), 0), AF4 + 1)</f>
        <v>44958</v>
      </c>
      <c r="AH4" s="14">
        <f ca="1">IF(AG4 = 0, IF(WEEKDAY(DATE($F$2,$AE$2,1), 1) = 5, DATE($F$2,$AE$2,1), 0), AG4 + 1)</f>
        <v>44959</v>
      </c>
      <c r="AI4" s="15">
        <f ca="1">IF(AH4 = 0, IF(WEEKDAY(DATE($F$2,$AE$2,1), 1) = 6, DATE($F$2,$AE$2,1), 0), AH4 + 1)</f>
        <v>44960</v>
      </c>
      <c r="AJ4" s="11">
        <f ca="1">IF(AI4 = 0, IF(WEEKDAY(DATE($F$2,$AE$2,1), 1) = 7, DATE($F$2,$AE$2,1), 0), AI4 + 1)</f>
        <v>44961</v>
      </c>
    </row>
    <row r="5" spans="2:36" ht="45" x14ac:dyDescent="0.25">
      <c r="B5" s="2" t="str" cm="1">
        <f t="array" aca="1" ref="B5" ca="1">IF(OR(DAY(C4:I4)=15), TEXT(C4, "mmm")," ")</f>
        <v xml:space="preserve"> </v>
      </c>
      <c r="C5" s="19" t="str" cm="1">
        <f t="array" aca="1" ref="C5" ca="1">IFERROR(INDEX(Holiday_names, MATCH(C4, Holidays, 0), 0), "")</f>
        <v/>
      </c>
      <c r="D5" s="20" t="str" cm="1">
        <f t="array" aca="1" ref="D5" ca="1">IFERROR(INDEX(Holiday_names, MATCH(D4, Holidays, 0), 0), "")</f>
        <v/>
      </c>
      <c r="E5" s="21" t="str" cm="1">
        <f t="array" aca="1" ref="E5" ca="1">IFERROR(INDEX(Holiday_names, MATCH(E4, Holidays, 0), 0), "")</f>
        <v/>
      </c>
      <c r="F5" s="21" t="str" cm="1">
        <f t="array" aca="1" ref="F5" ca="1">IFERROR(INDEX(Holiday_names, MATCH(F4, Holidays, 0), 0), "")</f>
        <v/>
      </c>
      <c r="G5" s="21" t="str" cm="1">
        <f t="array" aca="1" ref="G5" ca="1">IFERROR(INDEX(Holiday_names, MATCH(G4, Holidays, 0), 0), "")</f>
        <v/>
      </c>
      <c r="H5" s="22" t="str" cm="1">
        <f t="array" aca="1" ref="H5" ca="1">IFERROR(INDEX(Holiday_names, MATCH(H4, Holidays, 0), 0), "")</f>
        <v/>
      </c>
      <c r="I5" s="19" t="str" cm="1">
        <f t="array" aca="1" ref="I5" ca="1">IFERROR(INDEX(Holiday_names, MATCH(I4, Holidays, 0), 0), "")</f>
        <v/>
      </c>
      <c r="K5" s="2" t="str" cm="1">
        <f t="array" aca="1" ref="K5" ca="1">IF(OR(DAY(L4:R4)=15), TEXT(L4, "mmm")," ")</f>
        <v xml:space="preserve"> </v>
      </c>
      <c r="L5" s="19" t="str" cm="1">
        <f t="array" aca="1" ref="L5" ca="1">_xlfn.TEXTJOIN(", ", TRUE, _xlfn.XLOOKUP(('Support Calendars'!L4 &gt;= Events[Start Date] )* ('Support Calendars'!L4 &lt;= Events[End Date]) * (ISNUMBER(SEARCH(WEEKDAY(L4),Events[Days Numbered]))) * Events[Entry],Events[Entry],Events[Event Name],"",0))</f>
        <v/>
      </c>
      <c r="M5" s="20" t="str" cm="1">
        <f t="array" aca="1" ref="M5" ca="1">_xlfn.TEXTJOIN(", ", TRUE, _xlfn.XLOOKUP(('Support Calendars'!M4 &gt;= Events[Start Date] )* ('Support Calendars'!M4 &lt;= Events[End Date]) * (ISNUMBER(SEARCH(WEEKDAY(M4),Events[Days Numbered]))) * Events[Entry],Events[Entry],Events[Event Name],"",0))</f>
        <v/>
      </c>
      <c r="N5" s="21" t="str" cm="1">
        <f t="array" aca="1" ref="N5" ca="1">_xlfn.TEXTJOIN(", ", TRUE, _xlfn.XLOOKUP(('Support Calendars'!N4 &gt;= Events[Start Date] )* ('Support Calendars'!N4 &lt;= Events[End Date]) * (ISNUMBER(SEARCH(WEEKDAY(N4),Events[Days Numbered]))) * Events[Entry],Events[Entry],Events[Event Name],"",0))</f>
        <v/>
      </c>
      <c r="O5" s="21" t="str" cm="1">
        <f t="array" aca="1" ref="O5" ca="1">_xlfn.TEXTJOIN(", ", TRUE, _xlfn.XLOOKUP(('Support Calendars'!O4 &gt;= Events[Start Date] )* ('Support Calendars'!O4 &lt;= Events[End Date]) * (ISNUMBER(SEARCH(WEEKDAY(O4),Events[Days Numbered]))) * Events[Entry],Events[Entry],Events[Event Name],"",0))</f>
        <v/>
      </c>
      <c r="P5" s="21" t="str" cm="1">
        <f t="array" aca="1" ref="P5" ca="1">_xlfn.TEXTJOIN(", ", TRUE, _xlfn.XLOOKUP(('Support Calendars'!P4 &gt;= Events[Start Date] )* ('Support Calendars'!P4 &lt;= Events[End Date]) * (ISNUMBER(SEARCH(WEEKDAY(P4),Events[Days Numbered]))) * Events[Entry],Events[Entry],Events[Event Name],"",0))</f>
        <v/>
      </c>
      <c r="Q5" s="22" t="str" cm="1">
        <f t="array" aca="1" ref="Q5" ca="1">_xlfn.TEXTJOIN(", ", TRUE, _xlfn.XLOOKUP(('Support Calendars'!Q4 &gt;= Events[Start Date] )* ('Support Calendars'!Q4 &lt;= Events[End Date]) * (ISNUMBER(SEARCH(WEEKDAY(Q4),Events[Days Numbered]))) * Events[Entry],Events[Entry],Events[Event Name],"",0))</f>
        <v/>
      </c>
      <c r="R5" s="19" t="str" cm="1">
        <f t="array" aca="1" ref="R5" ca="1">_xlfn.TEXTJOIN(", ", TRUE, _xlfn.XLOOKUP(('Support Calendars'!R4 &gt;= Events[Start Date] )* ('Support Calendars'!R4 &lt;= Events[End Date]) * (ISNUMBER(SEARCH(WEEKDAY(R4),Events[Days Numbered]))) * Events[Entry],Events[Entry],Events[Event Name],"",0))</f>
        <v/>
      </c>
      <c r="T5" s="2" t="str" cm="1">
        <f t="array" aca="1" ref="T5" ca="1">IF(OR(DAY(U4:AA4)=15), TEXT(U4, "mmm")," ")</f>
        <v xml:space="preserve"> </v>
      </c>
      <c r="U5" s="19" t="str" cm="1">
        <f t="array" aca="1" ref="U5" ca="1">IFERROR(INDEX(Holiday_names, MATCH(U4, Holidays, 0), 0), "")</f>
        <v/>
      </c>
      <c r="V5" s="20" t="str" cm="1">
        <f t="array" aca="1" ref="V5" ca="1">IFERROR(INDEX(Holiday_names, MATCH(V4, Holidays, 0), 0), "")</f>
        <v/>
      </c>
      <c r="W5" s="21" t="str" cm="1">
        <f t="array" aca="1" ref="W5" ca="1">IFERROR(INDEX(Holiday_names, MATCH(W4, Holidays, 0), 0), "")</f>
        <v/>
      </c>
      <c r="X5" s="21" t="str" cm="1">
        <f t="array" aca="1" ref="X5" ca="1">IFERROR(INDEX(Holiday_names, MATCH(X4, Holidays, 0), 0), "")</f>
        <v/>
      </c>
      <c r="Y5" s="21" t="str" cm="1">
        <f t="array" aca="1" ref="Y5" ca="1">IFERROR(INDEX(Holiday_names, MATCH(Y4, Holidays, 0), 0), "")</f>
        <v/>
      </c>
      <c r="Z5" s="22" t="str" cm="1">
        <f t="array" aca="1" ref="Z5" ca="1">IFERROR(INDEX(Holiday_names, MATCH(Z4, Holidays, 0), 0), "")</f>
        <v/>
      </c>
      <c r="AA5" s="19" t="str" cm="1">
        <f t="array" aca="1" ref="AA5" ca="1">IFERROR(INDEX(Holiday_names, MATCH(AA4, Holidays, 0), 0), "")</f>
        <v/>
      </c>
      <c r="AC5" s="2" t="str" cm="1">
        <f t="array" aca="1" ref="AC5" ca="1">IF(OR(DAY(AD4:AJ4)=15), TEXT(AD4, "mmm")," ")</f>
        <v xml:space="preserve"> </v>
      </c>
      <c r="AD5" s="19" t="str" cm="1">
        <f t="array" aca="1" ref="AD5" ca="1">_xlfn.TEXTJOIN(", ", TRUE, _xlfn.XLOOKUP(('Support Calendars'!AD4 &gt;= Events[Start Date] )* ('Support Calendars'!AD4 &lt;= Events[End Date]) * (ISNUMBER(SEARCH(WEEKDAY(AD4),Events[Days Numbered]))) * Events[Entry],Events[Entry],Events[Event Name],"",0))</f>
        <v/>
      </c>
      <c r="AE5" s="20" t="str" cm="1">
        <f t="array" aca="1" ref="AE5" ca="1">_xlfn.TEXTJOIN(", ", TRUE, _xlfn.XLOOKUP(('Support Calendars'!AE4 &gt;= Events[Start Date] )* ('Support Calendars'!AE4 &lt;= Events[End Date]) * (ISNUMBER(SEARCH(WEEKDAY(AE4),Events[Days Numbered]))) * Events[Entry],Events[Entry],Events[Event Name],"",0))</f>
        <v/>
      </c>
      <c r="AF5" s="21" t="str" cm="1">
        <f t="array" aca="1" ref="AF5" ca="1">_xlfn.TEXTJOIN(", ", TRUE, _xlfn.XLOOKUP(('Support Calendars'!AF4 &gt;= Events[Start Date] )* ('Support Calendars'!AF4 &lt;= Events[End Date]) * (ISNUMBER(SEARCH(WEEKDAY(AF4),Events[Days Numbered]))) * Events[Entry],Events[Entry],Events[Event Name],"",0))</f>
        <v/>
      </c>
      <c r="AG5" s="21" t="str" cm="1">
        <f t="array" aca="1" ref="AG5" ca="1">_xlfn.TEXTJOIN(", ", TRUE, _xlfn.XLOOKUP(('Support Calendars'!AG4 &gt;= Events[Start Date] )* ('Support Calendars'!AG4 &lt;= Events[End Date]) * (ISNUMBER(SEARCH(WEEKDAY(AG4),Events[Days Numbered]))) * Events[Entry],Events[Entry],Events[Event Name],"",0))</f>
        <v/>
      </c>
      <c r="AH5" s="21" t="str" cm="1">
        <f t="array" aca="1" ref="AH5" ca="1">_xlfn.TEXTJOIN(", ", TRUE, _xlfn.XLOOKUP(('Support Calendars'!AH4 &gt;= Events[Start Date] )* ('Support Calendars'!AH4 &lt;= Events[End Date]) * (ISNUMBER(SEARCH(WEEKDAY(AH4),Events[Days Numbered]))) * Events[Entry],Events[Entry],Events[Event Name],"",0))</f>
        <v/>
      </c>
      <c r="AI5" s="22" t="str" cm="1">
        <f t="array" aca="1" ref="AI5" ca="1">_xlfn.TEXTJOIN(", ", TRUE, _xlfn.XLOOKUP(('Support Calendars'!AI4 &gt;= Events[Start Date] )* ('Support Calendars'!AI4 &lt;= Events[End Date]) * (ISNUMBER(SEARCH(WEEKDAY(AI4),Events[Days Numbered]))) * Events[Entry],Events[Entry],Events[Event Name],"",0))</f>
        <v/>
      </c>
      <c r="AJ5" s="19" t="str" cm="1">
        <f t="array" aca="1" ref="AJ5" ca="1">_xlfn.TEXTJOIN(", ", TRUE, _xlfn.XLOOKUP(('Support Calendars'!AJ4 &gt;= Events[Start Date] )* ('Support Calendars'!AJ4 &lt;= Events[End Date]) * (ISNUMBER(SEARCH(WEEKDAY(AJ4),Events[Days Numbered]))) * Events[Entry],Events[Entry],Events[Event Name],"",0))</f>
        <v/>
      </c>
    </row>
    <row r="6" spans="2:36" x14ac:dyDescent="0.25">
      <c r="B6" s="2"/>
      <c r="C6" s="12">
        <f ca="1">I4 + 1</f>
        <v>44962</v>
      </c>
      <c r="D6" s="16">
        <f ca="1">C6+ 1</f>
        <v>44963</v>
      </c>
      <c r="E6" s="17">
        <f t="shared" ref="E6:I6" ca="1" si="0">D6+ 1</f>
        <v>44964</v>
      </c>
      <c r="F6" s="17">
        <f t="shared" ca="1" si="0"/>
        <v>44965</v>
      </c>
      <c r="G6" s="17">
        <f t="shared" ca="1" si="0"/>
        <v>44966</v>
      </c>
      <c r="H6" s="18">
        <f t="shared" ca="1" si="0"/>
        <v>44967</v>
      </c>
      <c r="I6" s="12">
        <f t="shared" ca="1" si="0"/>
        <v>44968</v>
      </c>
      <c r="K6" s="2"/>
      <c r="L6" s="12">
        <f ca="1">R4 + 1</f>
        <v>44962</v>
      </c>
      <c r="M6" s="16">
        <f ca="1">L6+ 1</f>
        <v>44963</v>
      </c>
      <c r="N6" s="17">
        <f t="shared" ref="N6" ca="1" si="1">M6+ 1</f>
        <v>44964</v>
      </c>
      <c r="O6" s="17">
        <f t="shared" ref="O6" ca="1" si="2">N6+ 1</f>
        <v>44965</v>
      </c>
      <c r="P6" s="17">
        <f t="shared" ref="P6" ca="1" si="3">O6+ 1</f>
        <v>44966</v>
      </c>
      <c r="Q6" s="18">
        <f t="shared" ref="Q6" ca="1" si="4">P6+ 1</f>
        <v>44967</v>
      </c>
      <c r="R6" s="12">
        <f t="shared" ref="R6" ca="1" si="5">Q6+ 1</f>
        <v>44968</v>
      </c>
      <c r="T6" s="2"/>
      <c r="U6" s="12">
        <f ca="1">AA4 + 1</f>
        <v>44962</v>
      </c>
      <c r="V6" s="16">
        <f ca="1">U6+ 1</f>
        <v>44963</v>
      </c>
      <c r="W6" s="17">
        <f t="shared" ref="W6" ca="1" si="6">V6+ 1</f>
        <v>44964</v>
      </c>
      <c r="X6" s="17">
        <f t="shared" ref="X6" ca="1" si="7">W6+ 1</f>
        <v>44965</v>
      </c>
      <c r="Y6" s="17">
        <f t="shared" ref="Y6" ca="1" si="8">X6+ 1</f>
        <v>44966</v>
      </c>
      <c r="Z6" s="18">
        <f t="shared" ref="Z6" ca="1" si="9">Y6+ 1</f>
        <v>44967</v>
      </c>
      <c r="AA6" s="12">
        <f t="shared" ref="AA6" ca="1" si="10">Z6+ 1</f>
        <v>44968</v>
      </c>
      <c r="AC6" s="2"/>
      <c r="AD6" s="12">
        <f ca="1">AJ4 + 1</f>
        <v>44962</v>
      </c>
      <c r="AE6" s="16">
        <f ca="1">AD6+ 1</f>
        <v>44963</v>
      </c>
      <c r="AF6" s="17">
        <f t="shared" ref="AF6" ca="1" si="11">AE6+ 1</f>
        <v>44964</v>
      </c>
      <c r="AG6" s="17">
        <f t="shared" ref="AG6" ca="1" si="12">AF6+ 1</f>
        <v>44965</v>
      </c>
      <c r="AH6" s="17">
        <f t="shared" ref="AH6" ca="1" si="13">AG6+ 1</f>
        <v>44966</v>
      </c>
      <c r="AI6" s="18">
        <f t="shared" ref="AI6" ca="1" si="14">AH6+ 1</f>
        <v>44967</v>
      </c>
      <c r="AJ6" s="12">
        <f t="shared" ref="AJ6" ca="1" si="15">AI6+ 1</f>
        <v>44968</v>
      </c>
    </row>
    <row r="7" spans="2:36" x14ac:dyDescent="0.25">
      <c r="B7" s="2" t="str" cm="1">
        <f t="array" aca="1" ref="B7" ca="1">IF(OR(DAY(C6:I6)=15), TEXT(C6, "mmm")," ")</f>
        <v xml:space="preserve"> </v>
      </c>
      <c r="C7" s="19" t="str" cm="1">
        <f t="array" aca="1" ref="C7" ca="1">IFERROR(INDEX(Holiday_names, MATCH(C6, Holidays, 0), 0), "")</f>
        <v/>
      </c>
      <c r="D7" s="20" t="str" cm="1">
        <f t="array" aca="1" ref="D7" ca="1">IFERROR(INDEX(Holiday_names, MATCH(D6, Holidays, 0), 0), "")</f>
        <v/>
      </c>
      <c r="E7" s="21" t="str" cm="1">
        <f t="array" aca="1" ref="E7" ca="1">IFERROR(INDEX(Holiday_names, MATCH(E6, Holidays, 0), 0), "")</f>
        <v/>
      </c>
      <c r="F7" s="21" t="str" cm="1">
        <f t="array" aca="1" ref="F7" ca="1">IFERROR(INDEX(Holiday_names, MATCH(F6, Holidays, 0), 0), "")</f>
        <v/>
      </c>
      <c r="G7" s="21" t="str" cm="1">
        <f t="array" aca="1" ref="G7" ca="1">IFERROR(INDEX(Holiday_names, MATCH(G6, Holidays, 0), 0), "")</f>
        <v/>
      </c>
      <c r="H7" s="22" t="str" cm="1">
        <f t="array" aca="1" ref="H7" ca="1">IFERROR(INDEX(Holiday_names, MATCH(H6, Holidays, 0), 0), "")</f>
        <v/>
      </c>
      <c r="I7" s="19" t="str" cm="1">
        <f t="array" aca="1" ref="I7" ca="1">IFERROR(INDEX(Holiday_names, MATCH(I6, Holidays, 0), 0), "")</f>
        <v/>
      </c>
      <c r="K7" s="2" t="str" cm="1">
        <f t="array" aca="1" ref="K7" ca="1">IF(OR(DAY(L6:R6)=15), TEXT(L6, "mmm")," ")</f>
        <v xml:space="preserve"> </v>
      </c>
      <c r="L7" s="19" t="str" cm="1">
        <f t="array" aca="1" ref="L7" ca="1">_xlfn.TEXTJOIN(", ", TRUE, _xlfn.XLOOKUP(('Support Calendars'!L6 &gt;= Events[Start Date] )* ('Support Calendars'!L6 &lt;= Events[End Date]) * (ISNUMBER(SEARCH(WEEKDAY(L6),Events[Days Numbered]))) * Events[Entry],Events[Entry],Events[Event Name],"",0))</f>
        <v/>
      </c>
      <c r="M7" s="20" t="str" cm="1">
        <f t="array" aca="1" ref="M7" ca="1">_xlfn.TEXTJOIN(", ", TRUE, _xlfn.XLOOKUP(('Support Calendars'!M6 &gt;= Events[Start Date] )* ('Support Calendars'!M6 &lt;= Events[End Date]) * (ISNUMBER(SEARCH(WEEKDAY(M6),Events[Days Numbered]))) * Events[Entry],Events[Entry],Events[Event Name],"",0))</f>
        <v/>
      </c>
      <c r="N7" s="21" t="str" cm="1">
        <f t="array" aca="1" ref="N7" ca="1">_xlfn.TEXTJOIN(", ", TRUE, _xlfn.XLOOKUP(('Support Calendars'!N6 &gt;= Events[Start Date] )* ('Support Calendars'!N6 &lt;= Events[End Date]) * (ISNUMBER(SEARCH(WEEKDAY(N6),Events[Days Numbered]))) * Events[Entry],Events[Entry],Events[Event Name],"",0))</f>
        <v/>
      </c>
      <c r="O7" s="21" t="str" cm="1">
        <f t="array" aca="1" ref="O7" ca="1">_xlfn.TEXTJOIN(", ", TRUE, _xlfn.XLOOKUP(('Support Calendars'!O6 &gt;= Events[Start Date] )* ('Support Calendars'!O6 &lt;= Events[End Date]) * (ISNUMBER(SEARCH(WEEKDAY(O6),Events[Days Numbered]))) * Events[Entry],Events[Entry],Events[Event Name],"",0))</f>
        <v/>
      </c>
      <c r="P7" s="21" t="str" cm="1">
        <f t="array" aca="1" ref="P7" ca="1">_xlfn.TEXTJOIN(", ", TRUE, _xlfn.XLOOKUP(('Support Calendars'!P6 &gt;= Events[Start Date] )* ('Support Calendars'!P6 &lt;= Events[End Date]) * (ISNUMBER(SEARCH(WEEKDAY(P6),Events[Days Numbered]))) * Events[Entry],Events[Entry],Events[Event Name],"",0))</f>
        <v/>
      </c>
      <c r="Q7" s="22" t="str" cm="1">
        <f t="array" aca="1" ref="Q7" ca="1">_xlfn.TEXTJOIN(", ", TRUE, _xlfn.XLOOKUP(('Support Calendars'!Q6 &gt;= Events[Start Date] )* ('Support Calendars'!Q6 &lt;= Events[End Date]) * (ISNUMBER(SEARCH(WEEKDAY(Q6),Events[Days Numbered]))) * Events[Entry],Events[Entry],Events[Event Name],"",0))</f>
        <v/>
      </c>
      <c r="R7" s="19" t="str" cm="1">
        <f t="array" aca="1" ref="R7" ca="1">_xlfn.TEXTJOIN(", ", TRUE, _xlfn.XLOOKUP(('Support Calendars'!R6 &gt;= Events[Start Date] )* ('Support Calendars'!R6 &lt;= Events[End Date]) * (ISNUMBER(SEARCH(WEEKDAY(R6),Events[Days Numbered]))) * Events[Entry],Events[Entry],Events[Event Name],"",0))</f>
        <v/>
      </c>
      <c r="T7" s="2" t="str" cm="1">
        <f t="array" aca="1" ref="T7" ca="1">IF(OR(DAY(U6:AA6)=15), TEXT(U6, "mmm")," ")</f>
        <v xml:space="preserve"> </v>
      </c>
      <c r="U7" s="19" t="str" cm="1">
        <f t="array" aca="1" ref="U7" ca="1">IFERROR(INDEX(Holiday_names, MATCH(U6, Holidays, 0), 0), "")</f>
        <v/>
      </c>
      <c r="V7" s="20" t="str" cm="1">
        <f t="array" aca="1" ref="V7" ca="1">IFERROR(INDEX(Holiday_names, MATCH(V6, Holidays, 0), 0), "")</f>
        <v/>
      </c>
      <c r="W7" s="21" t="str" cm="1">
        <f t="array" aca="1" ref="W7" ca="1">IFERROR(INDEX(Holiday_names, MATCH(W6, Holidays, 0), 0), "")</f>
        <v/>
      </c>
      <c r="X7" s="21" t="str" cm="1">
        <f t="array" aca="1" ref="X7" ca="1">IFERROR(INDEX(Holiday_names, MATCH(X6, Holidays, 0), 0), "")</f>
        <v/>
      </c>
      <c r="Y7" s="21" t="str" cm="1">
        <f t="array" aca="1" ref="Y7" ca="1">IFERROR(INDEX(Holiday_names, MATCH(Y6, Holidays, 0), 0), "")</f>
        <v/>
      </c>
      <c r="Z7" s="22" t="str" cm="1">
        <f t="array" aca="1" ref="Z7" ca="1">IFERROR(INDEX(Holiday_names, MATCH(Z6, Holidays, 0), 0), "")</f>
        <v/>
      </c>
      <c r="AA7" s="19" t="str" cm="1">
        <f t="array" aca="1" ref="AA7" ca="1">IFERROR(INDEX(Holiday_names, MATCH(AA6, Holidays, 0), 0), "")</f>
        <v/>
      </c>
      <c r="AC7" s="2" t="str" cm="1">
        <f t="array" aca="1" ref="AC7" ca="1">IF(OR(DAY(AD6:AJ6)=15), TEXT(AD6, "mmm")," ")</f>
        <v xml:space="preserve"> </v>
      </c>
      <c r="AD7" s="19" t="str" cm="1">
        <f t="array" aca="1" ref="AD7" ca="1">_xlfn.TEXTJOIN(", ", TRUE, _xlfn.XLOOKUP(('Support Calendars'!AD6 &gt;= Events[Start Date] )* ('Support Calendars'!AD6 &lt;= Events[End Date]) * (ISNUMBER(SEARCH(WEEKDAY(AD6),Events[Days Numbered]))) * Events[Entry],Events[Entry],Events[Event Name],"",0))</f>
        <v/>
      </c>
      <c r="AE7" s="20" t="str" cm="1">
        <f t="array" aca="1" ref="AE7" ca="1">_xlfn.TEXTJOIN(", ", TRUE, _xlfn.XLOOKUP(('Support Calendars'!AE6 &gt;= Events[Start Date] )* ('Support Calendars'!AE6 &lt;= Events[End Date]) * (ISNUMBER(SEARCH(WEEKDAY(AE6),Events[Days Numbered]))) * Events[Entry],Events[Entry],Events[Event Name],"",0))</f>
        <v/>
      </c>
      <c r="AF7" s="21" t="str" cm="1">
        <f t="array" aca="1" ref="AF7" ca="1">_xlfn.TEXTJOIN(", ", TRUE, _xlfn.XLOOKUP(('Support Calendars'!AF6 &gt;= Events[Start Date] )* ('Support Calendars'!AF6 &lt;= Events[End Date]) * (ISNUMBER(SEARCH(WEEKDAY(AF6),Events[Days Numbered]))) * Events[Entry],Events[Entry],Events[Event Name],"",0))</f>
        <v/>
      </c>
      <c r="AG7" s="21" t="str" cm="1">
        <f t="array" aca="1" ref="AG7" ca="1">_xlfn.TEXTJOIN(", ", TRUE, _xlfn.XLOOKUP(('Support Calendars'!AG6 &gt;= Events[Start Date] )* ('Support Calendars'!AG6 &lt;= Events[End Date]) * (ISNUMBER(SEARCH(WEEKDAY(AG6),Events[Days Numbered]))) * Events[Entry],Events[Entry],Events[Event Name],"",0))</f>
        <v/>
      </c>
      <c r="AH7" s="21" t="str" cm="1">
        <f t="array" aca="1" ref="AH7" ca="1">_xlfn.TEXTJOIN(", ", TRUE, _xlfn.XLOOKUP(('Support Calendars'!AH6 &gt;= Events[Start Date] )* ('Support Calendars'!AH6 &lt;= Events[End Date]) * (ISNUMBER(SEARCH(WEEKDAY(AH6),Events[Days Numbered]))) * Events[Entry],Events[Entry],Events[Event Name],"",0))</f>
        <v/>
      </c>
      <c r="AI7" s="22" t="str" cm="1">
        <f t="array" aca="1" ref="AI7" ca="1">_xlfn.TEXTJOIN(", ", TRUE, _xlfn.XLOOKUP(('Support Calendars'!AI6 &gt;= Events[Start Date] )* ('Support Calendars'!AI6 &lt;= Events[End Date]) * (ISNUMBER(SEARCH(WEEKDAY(AI6),Events[Days Numbered]))) * Events[Entry],Events[Entry],Events[Event Name],"",0))</f>
        <v/>
      </c>
      <c r="AJ7" s="19" t="str" cm="1">
        <f t="array" aca="1" ref="AJ7" ca="1">_xlfn.TEXTJOIN(", ", TRUE, _xlfn.XLOOKUP(('Support Calendars'!AJ6 &gt;= Events[Start Date] )* ('Support Calendars'!AJ6 &lt;= Events[End Date]) * (ISNUMBER(SEARCH(WEEKDAY(AJ6),Events[Days Numbered]))) * Events[Entry],Events[Entry],Events[Event Name],"",0))</f>
        <v/>
      </c>
    </row>
    <row r="8" spans="2:36" x14ac:dyDescent="0.25">
      <c r="B8" s="2"/>
      <c r="C8" s="12">
        <f ca="1">I6 + 1</f>
        <v>44969</v>
      </c>
      <c r="D8" s="16">
        <f ca="1">C8+ 1</f>
        <v>44970</v>
      </c>
      <c r="E8" s="17">
        <f t="shared" ref="E8:I8" ca="1" si="16">D8+ 1</f>
        <v>44971</v>
      </c>
      <c r="F8" s="17">
        <f t="shared" ca="1" si="16"/>
        <v>44972</v>
      </c>
      <c r="G8" s="17">
        <f t="shared" ca="1" si="16"/>
        <v>44973</v>
      </c>
      <c r="H8" s="18">
        <f t="shared" ca="1" si="16"/>
        <v>44974</v>
      </c>
      <c r="I8" s="12">
        <f t="shared" ca="1" si="16"/>
        <v>44975</v>
      </c>
      <c r="K8" s="2"/>
      <c r="L8" s="12">
        <f ca="1">R6 + 1</f>
        <v>44969</v>
      </c>
      <c r="M8" s="16">
        <f ca="1">L8+ 1</f>
        <v>44970</v>
      </c>
      <c r="N8" s="17">
        <f t="shared" ref="N8" ca="1" si="17">M8+ 1</f>
        <v>44971</v>
      </c>
      <c r="O8" s="17">
        <f t="shared" ref="O8" ca="1" si="18">N8+ 1</f>
        <v>44972</v>
      </c>
      <c r="P8" s="17">
        <f t="shared" ref="P8" ca="1" si="19">O8+ 1</f>
        <v>44973</v>
      </c>
      <c r="Q8" s="18">
        <f t="shared" ref="Q8" ca="1" si="20">P8+ 1</f>
        <v>44974</v>
      </c>
      <c r="R8" s="12">
        <f t="shared" ref="R8" ca="1" si="21">Q8+ 1</f>
        <v>44975</v>
      </c>
      <c r="T8" s="2"/>
      <c r="U8" s="12">
        <f ca="1">AA6 + 1</f>
        <v>44969</v>
      </c>
      <c r="V8" s="16">
        <f ca="1">U8+ 1</f>
        <v>44970</v>
      </c>
      <c r="W8" s="17">
        <f t="shared" ref="W8" ca="1" si="22">V8+ 1</f>
        <v>44971</v>
      </c>
      <c r="X8" s="17">
        <f t="shared" ref="X8" ca="1" si="23">W8+ 1</f>
        <v>44972</v>
      </c>
      <c r="Y8" s="17">
        <f t="shared" ref="Y8" ca="1" si="24">X8+ 1</f>
        <v>44973</v>
      </c>
      <c r="Z8" s="18">
        <f t="shared" ref="Z8" ca="1" si="25">Y8+ 1</f>
        <v>44974</v>
      </c>
      <c r="AA8" s="12">
        <f t="shared" ref="AA8" ca="1" si="26">Z8+ 1</f>
        <v>44975</v>
      </c>
      <c r="AC8" s="2"/>
      <c r="AD8" s="12">
        <f ca="1">AJ6 + 1</f>
        <v>44969</v>
      </c>
      <c r="AE8" s="16">
        <f ca="1">AD8+ 1</f>
        <v>44970</v>
      </c>
      <c r="AF8" s="17">
        <f t="shared" ref="AF8" ca="1" si="27">AE8+ 1</f>
        <v>44971</v>
      </c>
      <c r="AG8" s="17">
        <f t="shared" ref="AG8" ca="1" si="28">AF8+ 1</f>
        <v>44972</v>
      </c>
      <c r="AH8" s="17">
        <f t="shared" ref="AH8" ca="1" si="29">AG8+ 1</f>
        <v>44973</v>
      </c>
      <c r="AI8" s="18">
        <f t="shared" ref="AI8" ca="1" si="30">AH8+ 1</f>
        <v>44974</v>
      </c>
      <c r="AJ8" s="12">
        <f t="shared" ref="AJ8" ca="1" si="31">AI8+ 1</f>
        <v>44975</v>
      </c>
    </row>
    <row r="9" spans="2:36" x14ac:dyDescent="0.25">
      <c r="B9" s="2" t="str" cm="1">
        <f t="array" aca="1" ref="B9" ca="1">IF(OR(DAY(C8:I8)=15), TEXT(C8, "mmm")," ")</f>
        <v>Feb</v>
      </c>
      <c r="C9" s="19" t="str" cm="1">
        <f t="array" aca="1" ref="C9" ca="1">IFERROR(INDEX(Holiday_names, MATCH(C8, Holidays, 0), 0), "")</f>
        <v/>
      </c>
      <c r="D9" s="20" t="str" cm="1">
        <f t="array" aca="1" ref="D9" ca="1">IFERROR(INDEX(Holiday_names, MATCH(D8, Holidays, 0), 0), "")</f>
        <v/>
      </c>
      <c r="E9" s="21" t="str" cm="1">
        <f t="array" aca="1" ref="E9" ca="1">IFERROR(INDEX(Holiday_names, MATCH(E8, Holidays, 0), 0), "")</f>
        <v>Valentines Day</v>
      </c>
      <c r="F9" s="21" t="str" cm="1">
        <f t="array" aca="1" ref="F9" ca="1">IFERROR(INDEX(Holiday_names, MATCH(F8, Holidays, 0), 0), "")</f>
        <v/>
      </c>
      <c r="G9" s="21" t="str" cm="1">
        <f t="array" aca="1" ref="G9" ca="1">IFERROR(INDEX(Holiday_names, MATCH(G8, Holidays, 0), 0), "")</f>
        <v/>
      </c>
      <c r="H9" s="22" t="str" cm="1">
        <f t="array" aca="1" ref="H9" ca="1">IFERROR(INDEX(Holiday_names, MATCH(H8, Holidays, 0), 0), "")</f>
        <v/>
      </c>
      <c r="I9" s="19" t="str" cm="1">
        <f t="array" aca="1" ref="I9" ca="1">IFERROR(INDEX(Holiday_names, MATCH(I8, Holidays, 0), 0), "")</f>
        <v/>
      </c>
      <c r="K9" s="2" t="str" cm="1">
        <f t="array" aca="1" ref="K9" ca="1">IF(OR(DAY(L8:R8)=15), TEXT(L8, "mmm")," ")</f>
        <v>Feb</v>
      </c>
      <c r="L9" s="19" t="str" cm="1">
        <f t="array" aca="1" ref="L9" ca="1">_xlfn.TEXTJOIN(", ", TRUE, _xlfn.XLOOKUP(('Support Calendars'!L8 &gt;= Events[Start Date] )* ('Support Calendars'!L8 &lt;= Events[End Date]) * (ISNUMBER(SEARCH(WEEKDAY(L8),Events[Days Numbered]))) * Events[Entry],Events[Entry],Events[Event Name],"",0))</f>
        <v/>
      </c>
      <c r="M9" s="20" t="str" cm="1">
        <f t="array" aca="1" ref="M9" ca="1">_xlfn.TEXTJOIN(", ", TRUE, _xlfn.XLOOKUP(('Support Calendars'!M8 &gt;= Events[Start Date] )* ('Support Calendars'!M8 &lt;= Events[End Date]) * (ISNUMBER(SEARCH(WEEKDAY(M8),Events[Days Numbered]))) * Events[Entry],Events[Entry],Events[Event Name],"",0))</f>
        <v/>
      </c>
      <c r="N9" s="21" t="str" cm="1">
        <f t="array" aca="1" ref="N9" ca="1">_xlfn.TEXTJOIN(", ", TRUE, _xlfn.XLOOKUP(('Support Calendars'!N8 &gt;= Events[Start Date] )* ('Support Calendars'!N8 &lt;= Events[End Date]) * (ISNUMBER(SEARCH(WEEKDAY(N8),Events[Days Numbered]))) * Events[Entry],Events[Entry],Events[Event Name],"",0))</f>
        <v/>
      </c>
      <c r="O9" s="21" t="str" cm="1">
        <f t="array" aca="1" ref="O9" ca="1">_xlfn.TEXTJOIN(", ", TRUE, _xlfn.XLOOKUP(('Support Calendars'!O8 &gt;= Events[Start Date] )* ('Support Calendars'!O8 &lt;= Events[End Date]) * (ISNUMBER(SEARCH(WEEKDAY(O8),Events[Days Numbered]))) * Events[Entry],Events[Entry],Events[Event Name],"",0))</f>
        <v/>
      </c>
      <c r="P9" s="21" t="str" cm="1">
        <f t="array" aca="1" ref="P9" ca="1">_xlfn.TEXTJOIN(", ", TRUE, _xlfn.XLOOKUP(('Support Calendars'!P8 &gt;= Events[Start Date] )* ('Support Calendars'!P8 &lt;= Events[End Date]) * (ISNUMBER(SEARCH(WEEKDAY(P8),Events[Days Numbered]))) * Events[Entry],Events[Entry],Events[Event Name],"",0))</f>
        <v/>
      </c>
      <c r="Q9" s="22" t="str" cm="1">
        <f t="array" aca="1" ref="Q9" ca="1">_xlfn.TEXTJOIN(", ", TRUE, _xlfn.XLOOKUP(('Support Calendars'!Q8 &gt;= Events[Start Date] )* ('Support Calendars'!Q8 &lt;= Events[End Date]) * (ISNUMBER(SEARCH(WEEKDAY(Q8),Events[Days Numbered]))) * Events[Entry],Events[Entry],Events[Event Name],"",0))</f>
        <v/>
      </c>
      <c r="R9" s="19" t="str" cm="1">
        <f t="array" aca="1" ref="R9" ca="1">_xlfn.TEXTJOIN(", ", TRUE, _xlfn.XLOOKUP(('Support Calendars'!R8 &gt;= Events[Start Date] )* ('Support Calendars'!R8 &lt;= Events[End Date]) * (ISNUMBER(SEARCH(WEEKDAY(R8),Events[Days Numbered]))) * Events[Entry],Events[Entry],Events[Event Name],"",0))</f>
        <v>Moving day</v>
      </c>
      <c r="T9" s="2" t="str" cm="1">
        <f t="array" aca="1" ref="T9" ca="1">IF(OR(DAY(U8:AA8)=15), TEXT(U8, "mmm")," ")</f>
        <v>Feb</v>
      </c>
      <c r="U9" s="19" t="str" cm="1">
        <f t="array" aca="1" ref="U9" ca="1">IFERROR(INDEX(Holiday_names, MATCH(U8, Holidays, 0), 0), "")</f>
        <v/>
      </c>
      <c r="V9" s="20" t="str" cm="1">
        <f t="array" aca="1" ref="V9" ca="1">IFERROR(INDEX(Holiday_names, MATCH(V8, Holidays, 0), 0), "")</f>
        <v/>
      </c>
      <c r="W9" s="21" t="str" cm="1">
        <f t="array" aca="1" ref="W9" ca="1">IFERROR(INDEX(Holiday_names, MATCH(W8, Holidays, 0), 0), "")</f>
        <v>Valentines Day</v>
      </c>
      <c r="X9" s="21" t="str" cm="1">
        <f t="array" aca="1" ref="X9" ca="1">IFERROR(INDEX(Holiday_names, MATCH(X8, Holidays, 0), 0), "")</f>
        <v/>
      </c>
      <c r="Y9" s="21" t="str" cm="1">
        <f t="array" aca="1" ref="Y9" ca="1">IFERROR(INDEX(Holiday_names, MATCH(Y8, Holidays, 0), 0), "")</f>
        <v/>
      </c>
      <c r="Z9" s="22" t="str" cm="1">
        <f t="array" aca="1" ref="Z9" ca="1">IFERROR(INDEX(Holiday_names, MATCH(Z8, Holidays, 0), 0), "")</f>
        <v/>
      </c>
      <c r="AA9" s="19" t="str" cm="1">
        <f t="array" aca="1" ref="AA9" ca="1">IFERROR(INDEX(Holiday_names, MATCH(AA8, Holidays, 0), 0), "")</f>
        <v/>
      </c>
      <c r="AC9" s="2" t="str" cm="1">
        <f t="array" aca="1" ref="AC9" ca="1">IF(OR(DAY(AD8:AJ8)=15), TEXT(AD8, "mmm")," ")</f>
        <v>Feb</v>
      </c>
      <c r="AD9" s="19" t="str" cm="1">
        <f t="array" aca="1" ref="AD9" ca="1">_xlfn.TEXTJOIN(", ", TRUE, _xlfn.XLOOKUP(('Support Calendars'!AD8 &gt;= Events[Start Date] )* ('Support Calendars'!AD8 &lt;= Events[End Date]) * (ISNUMBER(SEARCH(WEEKDAY(AD8),Events[Days Numbered]))) * Events[Entry],Events[Entry],Events[Event Name],"",0))</f>
        <v/>
      </c>
      <c r="AE9" s="20" t="str" cm="1">
        <f t="array" aca="1" ref="AE9" ca="1">_xlfn.TEXTJOIN(", ", TRUE, _xlfn.XLOOKUP(('Support Calendars'!AE8 &gt;= Events[Start Date] )* ('Support Calendars'!AE8 &lt;= Events[End Date]) * (ISNUMBER(SEARCH(WEEKDAY(AE8),Events[Days Numbered]))) * Events[Entry],Events[Entry],Events[Event Name],"",0))</f>
        <v/>
      </c>
      <c r="AF9" s="21" t="str" cm="1">
        <f t="array" aca="1" ref="AF9" ca="1">_xlfn.TEXTJOIN(", ", TRUE, _xlfn.XLOOKUP(('Support Calendars'!AF8 &gt;= Events[Start Date] )* ('Support Calendars'!AF8 &lt;= Events[End Date]) * (ISNUMBER(SEARCH(WEEKDAY(AF8),Events[Days Numbered]))) * Events[Entry],Events[Entry],Events[Event Name],"",0))</f>
        <v/>
      </c>
      <c r="AG9" s="21" t="str" cm="1">
        <f t="array" aca="1" ref="AG9" ca="1">_xlfn.TEXTJOIN(", ", TRUE, _xlfn.XLOOKUP(('Support Calendars'!AG8 &gt;= Events[Start Date] )* ('Support Calendars'!AG8 &lt;= Events[End Date]) * (ISNUMBER(SEARCH(WEEKDAY(AG8),Events[Days Numbered]))) * Events[Entry],Events[Entry],Events[Event Name],"",0))</f>
        <v/>
      </c>
      <c r="AH9" s="21" t="str" cm="1">
        <f t="array" aca="1" ref="AH9" ca="1">_xlfn.TEXTJOIN(", ", TRUE, _xlfn.XLOOKUP(('Support Calendars'!AH8 &gt;= Events[Start Date] )* ('Support Calendars'!AH8 &lt;= Events[End Date]) * (ISNUMBER(SEARCH(WEEKDAY(AH8),Events[Days Numbered]))) * Events[Entry],Events[Entry],Events[Event Name],"",0))</f>
        <v/>
      </c>
      <c r="AI9" s="22" t="str" cm="1">
        <f t="array" aca="1" ref="AI9" ca="1">_xlfn.TEXTJOIN(", ", TRUE, _xlfn.XLOOKUP(('Support Calendars'!AI8 &gt;= Events[Start Date] )* ('Support Calendars'!AI8 &lt;= Events[End Date]) * (ISNUMBER(SEARCH(WEEKDAY(AI8),Events[Days Numbered]))) * Events[Entry],Events[Entry],Events[Event Name],"",0))</f>
        <v/>
      </c>
      <c r="AJ9" s="19" t="str" cm="1">
        <f t="array" aca="1" ref="AJ9" ca="1">_xlfn.TEXTJOIN(", ", TRUE, _xlfn.XLOOKUP(('Support Calendars'!AJ8 &gt;= Events[Start Date] )* ('Support Calendars'!AJ8 &lt;= Events[End Date]) * (ISNUMBER(SEARCH(WEEKDAY(AJ8),Events[Days Numbered]))) * Events[Entry],Events[Entry],Events[Event Name],"",0))</f>
        <v>Moving day</v>
      </c>
    </row>
    <row r="10" spans="2:36" x14ac:dyDescent="0.25">
      <c r="B10" s="2"/>
      <c r="C10" s="12">
        <f ca="1">I8 + 1</f>
        <v>44976</v>
      </c>
      <c r="D10" s="16">
        <f ca="1">C10+ 1</f>
        <v>44977</v>
      </c>
      <c r="E10" s="17">
        <f t="shared" ref="E10:I10" ca="1" si="32">D10+ 1</f>
        <v>44978</v>
      </c>
      <c r="F10" s="17">
        <f t="shared" ca="1" si="32"/>
        <v>44979</v>
      </c>
      <c r="G10" s="17">
        <f t="shared" ca="1" si="32"/>
        <v>44980</v>
      </c>
      <c r="H10" s="18">
        <f t="shared" ca="1" si="32"/>
        <v>44981</v>
      </c>
      <c r="I10" s="12">
        <f t="shared" ca="1" si="32"/>
        <v>44982</v>
      </c>
      <c r="K10" s="2"/>
      <c r="L10" s="12">
        <f ca="1">R8 + 1</f>
        <v>44976</v>
      </c>
      <c r="M10" s="16">
        <f ca="1">L10+ 1</f>
        <v>44977</v>
      </c>
      <c r="N10" s="17">
        <f t="shared" ref="N10" ca="1" si="33">M10+ 1</f>
        <v>44978</v>
      </c>
      <c r="O10" s="17">
        <f t="shared" ref="O10" ca="1" si="34">N10+ 1</f>
        <v>44979</v>
      </c>
      <c r="P10" s="17">
        <f t="shared" ref="P10" ca="1" si="35">O10+ 1</f>
        <v>44980</v>
      </c>
      <c r="Q10" s="18">
        <f t="shared" ref="Q10" ca="1" si="36">P10+ 1</f>
        <v>44981</v>
      </c>
      <c r="R10" s="12">
        <f t="shared" ref="R10" ca="1" si="37">Q10+ 1</f>
        <v>44982</v>
      </c>
      <c r="T10" s="2"/>
      <c r="U10" s="12">
        <f ca="1">AA8 + 1</f>
        <v>44976</v>
      </c>
      <c r="V10" s="16">
        <f ca="1">U10+ 1</f>
        <v>44977</v>
      </c>
      <c r="W10" s="17">
        <f t="shared" ref="W10" ca="1" si="38">V10+ 1</f>
        <v>44978</v>
      </c>
      <c r="X10" s="17">
        <f t="shared" ref="X10" ca="1" si="39">W10+ 1</f>
        <v>44979</v>
      </c>
      <c r="Y10" s="17">
        <f t="shared" ref="Y10" ca="1" si="40">X10+ 1</f>
        <v>44980</v>
      </c>
      <c r="Z10" s="18">
        <f t="shared" ref="Z10" ca="1" si="41">Y10+ 1</f>
        <v>44981</v>
      </c>
      <c r="AA10" s="12">
        <f t="shared" ref="AA10" ca="1" si="42">Z10+ 1</f>
        <v>44982</v>
      </c>
      <c r="AC10" s="2"/>
      <c r="AD10" s="12">
        <f ca="1">AJ8 + 1</f>
        <v>44976</v>
      </c>
      <c r="AE10" s="16">
        <f ca="1">AD10+ 1</f>
        <v>44977</v>
      </c>
      <c r="AF10" s="17">
        <f t="shared" ref="AF10" ca="1" si="43">AE10+ 1</f>
        <v>44978</v>
      </c>
      <c r="AG10" s="17">
        <f t="shared" ref="AG10" ca="1" si="44">AF10+ 1</f>
        <v>44979</v>
      </c>
      <c r="AH10" s="17">
        <f t="shared" ref="AH10" ca="1" si="45">AG10+ 1</f>
        <v>44980</v>
      </c>
      <c r="AI10" s="18">
        <f t="shared" ref="AI10" ca="1" si="46">AH10+ 1</f>
        <v>44981</v>
      </c>
      <c r="AJ10" s="12">
        <f t="shared" ref="AJ10" ca="1" si="47">AI10+ 1</f>
        <v>44982</v>
      </c>
    </row>
    <row r="11" spans="2:36" ht="30" x14ac:dyDescent="0.25">
      <c r="B11" s="2" t="str" cm="1">
        <f t="array" aca="1" ref="B11" ca="1">IF(OR(DAY(C10:I10)=15), TEXT(C10, "mmm")," ")</f>
        <v xml:space="preserve"> </v>
      </c>
      <c r="C11" s="19" t="str" cm="1">
        <f t="array" aca="1" ref="C11" ca="1">IFERROR(INDEX(Holiday_names, MATCH(C10, Holidays, 0), 0), "")</f>
        <v/>
      </c>
      <c r="D11" s="20" t="str" cm="1">
        <f t="array" aca="1" ref="D11" ca="1">IFERROR(INDEX(Holiday_names, MATCH(D10, Holidays, 0), 0), "")</f>
        <v>Presidents Day</v>
      </c>
      <c r="E11" s="21" t="str" cm="1">
        <f t="array" aca="1" ref="E11" ca="1">IFERROR(INDEX(Holiday_names, MATCH(E10, Holidays, 0), 0), "")</f>
        <v/>
      </c>
      <c r="F11" s="21" t="str" cm="1">
        <f t="array" aca="1" ref="F11" ca="1">IFERROR(INDEX(Holiday_names, MATCH(F10, Holidays, 0), 0), "")</f>
        <v/>
      </c>
      <c r="G11" s="21" t="str" cm="1">
        <f t="array" aca="1" ref="G11" ca="1">IFERROR(INDEX(Holiday_names, MATCH(G10, Holidays, 0), 0), "")</f>
        <v/>
      </c>
      <c r="H11" s="22" t="str" cm="1">
        <f t="array" aca="1" ref="H11" ca="1">IFERROR(INDEX(Holiday_names, MATCH(H10, Holidays, 0), 0), "")</f>
        <v/>
      </c>
      <c r="I11" s="19" t="str" cm="1">
        <f t="array" aca="1" ref="I11" ca="1">IFERROR(INDEX(Holiday_names, MATCH(I10, Holidays, 0), 0), "")</f>
        <v/>
      </c>
      <c r="K11" s="2" t="str" cm="1">
        <f t="array" aca="1" ref="K11" ca="1">IF(OR(DAY(L10:R10)=15), TEXT(L10, "mmm")," ")</f>
        <v xml:space="preserve"> </v>
      </c>
      <c r="L11" s="19" t="str" cm="1">
        <f t="array" aca="1" ref="L11" ca="1">_xlfn.TEXTJOIN(", ", TRUE, _xlfn.XLOOKUP(('Support Calendars'!L10 &gt;= Events[Start Date] )* ('Support Calendars'!L10 &lt;= Events[End Date]) * (ISNUMBER(SEARCH(WEEKDAY(L10),Events[Days Numbered]))) * Events[Entry],Events[Entry],Events[Event Name],"",0))</f>
        <v/>
      </c>
      <c r="M11" s="20" t="str" cm="1">
        <f t="array" aca="1" ref="M11" ca="1">_xlfn.TEXTJOIN(", ", TRUE, _xlfn.XLOOKUP(('Support Calendars'!M10 &gt;= Events[Start Date] )* ('Support Calendars'!M10 &lt;= Events[End Date]) * (ISNUMBER(SEARCH(WEEKDAY(M10),Events[Days Numbered]))) * Events[Entry],Events[Entry],Events[Event Name],"",0))</f>
        <v/>
      </c>
      <c r="N11" s="21" t="str" cm="1">
        <f t="array" aca="1" ref="N11" ca="1">_xlfn.TEXTJOIN(", ", TRUE, _xlfn.XLOOKUP(('Support Calendars'!N10 &gt;= Events[Start Date] )* ('Support Calendars'!N10 &lt;= Events[End Date]) * (ISNUMBER(SEARCH(WEEKDAY(N10),Events[Days Numbered]))) * Events[Entry],Events[Entry],Events[Event Name],"",0))</f>
        <v/>
      </c>
      <c r="O11" s="21" t="str" cm="1">
        <f t="array" aca="1" ref="O11" ca="1">_xlfn.TEXTJOIN(", ", TRUE, _xlfn.XLOOKUP(('Support Calendars'!O10 &gt;= Events[Start Date] )* ('Support Calendars'!O10 &lt;= Events[End Date]) * (ISNUMBER(SEARCH(WEEKDAY(O10),Events[Days Numbered]))) * Events[Entry],Events[Entry],Events[Event Name],"",0))</f>
        <v/>
      </c>
      <c r="P11" s="21" t="str" cm="1">
        <f t="array" aca="1" ref="P11" ca="1">_xlfn.TEXTJOIN(", ", TRUE, _xlfn.XLOOKUP(('Support Calendars'!P10 &gt;= Events[Start Date] )* ('Support Calendars'!P10 &lt;= Events[End Date]) * (ISNUMBER(SEARCH(WEEKDAY(P10),Events[Days Numbered]))) * Events[Entry],Events[Entry],Events[Event Name],"",0))</f>
        <v/>
      </c>
      <c r="Q11" s="22" t="str" cm="1">
        <f t="array" aca="1" ref="Q11" ca="1">_xlfn.TEXTJOIN(", ", TRUE, _xlfn.XLOOKUP(('Support Calendars'!Q10 &gt;= Events[Start Date] )* ('Support Calendars'!Q10 &lt;= Events[End Date]) * (ISNUMBER(SEARCH(WEEKDAY(Q10),Events[Days Numbered]))) * Events[Entry],Events[Entry],Events[Event Name],"",0))</f>
        <v/>
      </c>
      <c r="R11" s="19" t="str" cm="1">
        <f t="array" aca="1" ref="R11" ca="1">_xlfn.TEXTJOIN(", ", TRUE, _xlfn.XLOOKUP(('Support Calendars'!R10 &gt;= Events[Start Date] )* ('Support Calendars'!R10 &lt;= Events[End Date]) * (ISNUMBER(SEARCH(WEEKDAY(R10),Events[Days Numbered]))) * Events[Entry],Events[Entry],Events[Event Name],"",0))</f>
        <v/>
      </c>
      <c r="T11" s="2" t="str" cm="1">
        <f t="array" aca="1" ref="T11" ca="1">IF(OR(DAY(U10:AA10)=15), TEXT(U10, "mmm")," ")</f>
        <v xml:space="preserve"> </v>
      </c>
      <c r="U11" s="19" t="str" cm="1">
        <f t="array" aca="1" ref="U11" ca="1">IFERROR(INDEX(Holiday_names, MATCH(U10, Holidays, 0), 0), "")</f>
        <v/>
      </c>
      <c r="V11" s="20" t="str" cm="1">
        <f t="array" aca="1" ref="V11" ca="1">IFERROR(INDEX(Holiday_names, MATCH(V10, Holidays, 0), 0), "")</f>
        <v>Presidents Day</v>
      </c>
      <c r="W11" s="21" t="str" cm="1">
        <f t="array" aca="1" ref="W11" ca="1">IFERROR(INDEX(Holiday_names, MATCH(W10, Holidays, 0), 0), "")</f>
        <v/>
      </c>
      <c r="X11" s="21" t="str" cm="1">
        <f t="array" aca="1" ref="X11" ca="1">IFERROR(INDEX(Holiday_names, MATCH(X10, Holidays, 0), 0), "")</f>
        <v/>
      </c>
      <c r="Y11" s="21" t="str" cm="1">
        <f t="array" aca="1" ref="Y11" ca="1">IFERROR(INDEX(Holiday_names, MATCH(Y10, Holidays, 0), 0), "")</f>
        <v/>
      </c>
      <c r="Z11" s="22" t="str" cm="1">
        <f t="array" aca="1" ref="Z11" ca="1">IFERROR(INDEX(Holiday_names, MATCH(Z10, Holidays, 0), 0), "")</f>
        <v/>
      </c>
      <c r="AA11" s="19" t="str" cm="1">
        <f t="array" aca="1" ref="AA11" ca="1">IFERROR(INDEX(Holiday_names, MATCH(AA10, Holidays, 0), 0), "")</f>
        <v/>
      </c>
      <c r="AC11" s="2" t="str" cm="1">
        <f t="array" aca="1" ref="AC11" ca="1">IF(OR(DAY(AD10:AJ10)=15), TEXT(AD10, "mmm")," ")</f>
        <v xml:space="preserve"> </v>
      </c>
      <c r="AD11" s="19" t="str" cm="1">
        <f t="array" aca="1" ref="AD11" ca="1">_xlfn.TEXTJOIN(", ", TRUE, _xlfn.XLOOKUP(('Support Calendars'!AD10 &gt;= Events[Start Date] )* ('Support Calendars'!AD10 &lt;= Events[End Date]) * (ISNUMBER(SEARCH(WEEKDAY(AD10),Events[Days Numbered]))) * Events[Entry],Events[Entry],Events[Event Name],"",0))</f>
        <v/>
      </c>
      <c r="AE11" s="20" t="str" cm="1">
        <f t="array" aca="1" ref="AE11" ca="1">_xlfn.TEXTJOIN(", ", TRUE, _xlfn.XLOOKUP(('Support Calendars'!AE10 &gt;= Events[Start Date] )* ('Support Calendars'!AE10 &lt;= Events[End Date]) * (ISNUMBER(SEARCH(WEEKDAY(AE10),Events[Days Numbered]))) * Events[Entry],Events[Entry],Events[Event Name],"",0))</f>
        <v/>
      </c>
      <c r="AF11" s="21" t="str" cm="1">
        <f t="array" aca="1" ref="AF11" ca="1">_xlfn.TEXTJOIN(", ", TRUE, _xlfn.XLOOKUP(('Support Calendars'!AF10 &gt;= Events[Start Date] )* ('Support Calendars'!AF10 &lt;= Events[End Date]) * (ISNUMBER(SEARCH(WEEKDAY(AF10),Events[Days Numbered]))) * Events[Entry],Events[Entry],Events[Event Name],"",0))</f>
        <v/>
      </c>
      <c r="AG11" s="21" t="str" cm="1">
        <f t="array" aca="1" ref="AG11" ca="1">_xlfn.TEXTJOIN(", ", TRUE, _xlfn.XLOOKUP(('Support Calendars'!AG10 &gt;= Events[Start Date] )* ('Support Calendars'!AG10 &lt;= Events[End Date]) * (ISNUMBER(SEARCH(WEEKDAY(AG10),Events[Days Numbered]))) * Events[Entry],Events[Entry],Events[Event Name],"",0))</f>
        <v/>
      </c>
      <c r="AH11" s="21" t="str" cm="1">
        <f t="array" aca="1" ref="AH11" ca="1">_xlfn.TEXTJOIN(", ", TRUE, _xlfn.XLOOKUP(('Support Calendars'!AH10 &gt;= Events[Start Date] )* ('Support Calendars'!AH10 &lt;= Events[End Date]) * (ISNUMBER(SEARCH(WEEKDAY(AH10),Events[Days Numbered]))) * Events[Entry],Events[Entry],Events[Event Name],"",0))</f>
        <v/>
      </c>
      <c r="AI11" s="22" t="str" cm="1">
        <f t="array" aca="1" ref="AI11" ca="1">_xlfn.TEXTJOIN(", ", TRUE, _xlfn.XLOOKUP(('Support Calendars'!AI10 &gt;= Events[Start Date] )* ('Support Calendars'!AI10 &lt;= Events[End Date]) * (ISNUMBER(SEARCH(WEEKDAY(AI10),Events[Days Numbered]))) * Events[Entry],Events[Entry],Events[Event Name],"",0))</f>
        <v/>
      </c>
      <c r="AJ11" s="19" t="str" cm="1">
        <f t="array" aca="1" ref="AJ11" ca="1">_xlfn.TEXTJOIN(", ", TRUE, _xlfn.XLOOKUP(('Support Calendars'!AJ10 &gt;= Events[Start Date] )* ('Support Calendars'!AJ10 &lt;= Events[End Date]) * (ISNUMBER(SEARCH(WEEKDAY(AJ10),Events[Days Numbered]))) * Events[Entry],Events[Entry],Events[Event Name],"",0))</f>
        <v/>
      </c>
    </row>
    <row r="12" spans="2:36" x14ac:dyDescent="0.25">
      <c r="B12" s="2"/>
      <c r="C12" s="12">
        <f ca="1">I10 + 1</f>
        <v>44983</v>
      </c>
      <c r="D12" s="16">
        <f ca="1">C12+ 1</f>
        <v>44984</v>
      </c>
      <c r="E12" s="17">
        <f t="shared" ref="E12:I12" ca="1" si="48">D12+ 1</f>
        <v>44985</v>
      </c>
      <c r="F12" s="17">
        <f t="shared" ca="1" si="48"/>
        <v>44986</v>
      </c>
      <c r="G12" s="17">
        <f t="shared" ca="1" si="48"/>
        <v>44987</v>
      </c>
      <c r="H12" s="18">
        <f t="shared" ca="1" si="48"/>
        <v>44988</v>
      </c>
      <c r="I12" s="12">
        <f t="shared" ca="1" si="48"/>
        <v>44989</v>
      </c>
      <c r="K12" s="2"/>
      <c r="L12" s="12">
        <f ca="1">R10 + 1</f>
        <v>44983</v>
      </c>
      <c r="M12" s="16">
        <f ca="1">L12+ 1</f>
        <v>44984</v>
      </c>
      <c r="N12" s="17">
        <f t="shared" ref="N12" ca="1" si="49">M12+ 1</f>
        <v>44985</v>
      </c>
      <c r="O12" s="17">
        <f t="shared" ref="O12" ca="1" si="50">N12+ 1</f>
        <v>44986</v>
      </c>
      <c r="P12" s="17">
        <f t="shared" ref="P12" ca="1" si="51">O12+ 1</f>
        <v>44987</v>
      </c>
      <c r="Q12" s="18">
        <f t="shared" ref="Q12" ca="1" si="52">P12+ 1</f>
        <v>44988</v>
      </c>
      <c r="R12" s="12">
        <f t="shared" ref="R12" ca="1" si="53">Q12+ 1</f>
        <v>44989</v>
      </c>
      <c r="T12" s="2"/>
      <c r="U12" s="12">
        <f ca="1">AA10 + 1</f>
        <v>44983</v>
      </c>
      <c r="V12" s="16">
        <f ca="1">U12+ 1</f>
        <v>44984</v>
      </c>
      <c r="W12" s="17">
        <f t="shared" ref="W12" ca="1" si="54">V12+ 1</f>
        <v>44985</v>
      </c>
      <c r="X12" s="17">
        <f t="shared" ref="X12" ca="1" si="55">W12+ 1</f>
        <v>44986</v>
      </c>
      <c r="Y12" s="17">
        <f t="shared" ref="Y12" ca="1" si="56">X12+ 1</f>
        <v>44987</v>
      </c>
      <c r="Z12" s="18">
        <f t="shared" ref="Z12" ca="1" si="57">Y12+ 1</f>
        <v>44988</v>
      </c>
      <c r="AA12" s="12">
        <f t="shared" ref="AA12" ca="1" si="58">Z12+ 1</f>
        <v>44989</v>
      </c>
      <c r="AC12" s="2"/>
      <c r="AD12" s="12">
        <f ca="1">AJ10 + 1</f>
        <v>44983</v>
      </c>
      <c r="AE12" s="16">
        <f ca="1">AD12+ 1</f>
        <v>44984</v>
      </c>
      <c r="AF12" s="17">
        <f t="shared" ref="AF12" ca="1" si="59">AE12+ 1</f>
        <v>44985</v>
      </c>
      <c r="AG12" s="17">
        <f t="shared" ref="AG12" ca="1" si="60">AF12+ 1</f>
        <v>44986</v>
      </c>
      <c r="AH12" s="17">
        <f t="shared" ref="AH12" ca="1" si="61">AG12+ 1</f>
        <v>44987</v>
      </c>
      <c r="AI12" s="18">
        <f t="shared" ref="AI12" ca="1" si="62">AH12+ 1</f>
        <v>44988</v>
      </c>
      <c r="AJ12" s="12">
        <f t="shared" ref="AJ12" ca="1" si="63">AI12+ 1</f>
        <v>44989</v>
      </c>
    </row>
    <row r="13" spans="2:36" x14ac:dyDescent="0.25">
      <c r="B13" s="2" t="str" cm="1">
        <f t="array" aca="1" ref="B13" ca="1">IF(OR(DAY(C12:I12)=15), TEXT(C12, "mmm")," ")</f>
        <v xml:space="preserve"> </v>
      </c>
      <c r="C13" s="19" t="str" cm="1">
        <f t="array" aca="1" ref="C13" ca="1">IFERROR(INDEX(Holiday_names, MATCH(C12, Holidays, 0), 0), "")</f>
        <v/>
      </c>
      <c r="D13" s="20" t="str" cm="1">
        <f t="array" aca="1" ref="D13" ca="1">IFERROR(INDEX(Holiday_names, MATCH(D12, Holidays, 0), 0), "")</f>
        <v/>
      </c>
      <c r="E13" s="21" t="str" cm="1">
        <f t="array" aca="1" ref="E13" ca="1">IFERROR(INDEX(Holiday_names, MATCH(E12, Holidays, 0), 0), "")</f>
        <v/>
      </c>
      <c r="F13" s="21" t="str" cm="1">
        <f t="array" aca="1" ref="F13" ca="1">IFERROR(INDEX(Holiday_names, MATCH(F12, Holidays, 0), 0), "")</f>
        <v/>
      </c>
      <c r="G13" s="21" t="str" cm="1">
        <f t="array" aca="1" ref="G13" ca="1">IFERROR(INDEX(Holiday_names, MATCH(G12, Holidays, 0), 0), "")</f>
        <v/>
      </c>
      <c r="H13" s="22" t="str" cm="1">
        <f t="array" aca="1" ref="H13" ca="1">IFERROR(INDEX(Holiday_names, MATCH(H12, Holidays, 0), 0), "")</f>
        <v/>
      </c>
      <c r="I13" s="19" t="str" cm="1">
        <f t="array" aca="1" ref="I13" ca="1">IFERROR(INDEX(Holiday_names, MATCH(I12, Holidays, 0), 0), "")</f>
        <v/>
      </c>
      <c r="K13" s="2" t="str" cm="1">
        <f t="array" aca="1" ref="K13" ca="1">IF(OR(DAY(L12:R12)=15), TEXT(L12, "mmm")," ")</f>
        <v xml:space="preserve"> </v>
      </c>
      <c r="L13" s="19" t="str" cm="1">
        <f t="array" aca="1" ref="L13" ca="1">_xlfn.TEXTJOIN(", ", TRUE, _xlfn.XLOOKUP(('Support Calendars'!L12 &gt;= Events[Start Date] )* ('Support Calendars'!L12 &lt;= Events[End Date]) * (ISNUMBER(SEARCH(WEEKDAY(L12),Events[Days Numbered]))) * Events[Entry],Events[Entry],Events[Event Name],"",0))</f>
        <v/>
      </c>
      <c r="M13" s="20" t="str" cm="1">
        <f t="array" aca="1" ref="M13" ca="1">_xlfn.TEXTJOIN(", ", TRUE, _xlfn.XLOOKUP(('Support Calendars'!M12 &gt;= Events[Start Date] )* ('Support Calendars'!M12 &lt;= Events[End Date]) * (ISNUMBER(SEARCH(WEEKDAY(M12),Events[Days Numbered]))) * Events[Entry],Events[Entry],Events[Event Name],"",0))</f>
        <v/>
      </c>
      <c r="N13" s="21" t="str" cm="1">
        <f t="array" aca="1" ref="N13" ca="1">_xlfn.TEXTJOIN(", ", TRUE, _xlfn.XLOOKUP(('Support Calendars'!N12 &gt;= Events[Start Date] )* ('Support Calendars'!N12 &lt;= Events[End Date]) * (ISNUMBER(SEARCH(WEEKDAY(N12),Events[Days Numbered]))) * Events[Entry],Events[Entry],Events[Event Name],"",0))</f>
        <v/>
      </c>
      <c r="O13" s="21" t="str" cm="1">
        <f t="array" aca="1" ref="O13" ca="1">_xlfn.TEXTJOIN(", ", TRUE, _xlfn.XLOOKUP(('Support Calendars'!O12 &gt;= Events[Start Date] )* ('Support Calendars'!O12 &lt;= Events[End Date]) * (ISNUMBER(SEARCH(WEEKDAY(O12),Events[Days Numbered]))) * Events[Entry],Events[Entry],Events[Event Name],"",0))</f>
        <v/>
      </c>
      <c r="P13" s="21" t="str" cm="1">
        <f t="array" aca="1" ref="P13" ca="1">_xlfn.TEXTJOIN(", ", TRUE, _xlfn.XLOOKUP(('Support Calendars'!P12 &gt;= Events[Start Date] )* ('Support Calendars'!P12 &lt;= Events[End Date]) * (ISNUMBER(SEARCH(WEEKDAY(P12),Events[Days Numbered]))) * Events[Entry],Events[Entry],Events[Event Name],"",0))</f>
        <v/>
      </c>
      <c r="Q13" s="22" t="str" cm="1">
        <f t="array" aca="1" ref="Q13" ca="1">_xlfn.TEXTJOIN(", ", TRUE, _xlfn.XLOOKUP(('Support Calendars'!Q12 &gt;= Events[Start Date] )* ('Support Calendars'!Q12 &lt;= Events[End Date]) * (ISNUMBER(SEARCH(WEEKDAY(Q12),Events[Days Numbered]))) * Events[Entry],Events[Entry],Events[Event Name],"",0))</f>
        <v/>
      </c>
      <c r="R13" s="19" t="str" cm="1">
        <f t="array" aca="1" ref="R13" ca="1">_xlfn.TEXTJOIN(", ", TRUE, _xlfn.XLOOKUP(('Support Calendars'!R12 &gt;= Events[Start Date] )* ('Support Calendars'!R12 &lt;= Events[End Date]) * (ISNUMBER(SEARCH(WEEKDAY(R12),Events[Days Numbered]))) * Events[Entry],Events[Entry],Events[Event Name],"",0))</f>
        <v/>
      </c>
      <c r="T13" s="2" t="str" cm="1">
        <f t="array" aca="1" ref="T13" ca="1">IF(OR(DAY(U12:AA12)=15), TEXT(U12, "mmm")," ")</f>
        <v xml:space="preserve"> </v>
      </c>
      <c r="U13" s="19" t="str" cm="1">
        <f t="array" aca="1" ref="U13" ca="1">IFERROR(INDEX(Holiday_names, MATCH(U12, Holidays, 0), 0), "")</f>
        <v/>
      </c>
      <c r="V13" s="20" t="str" cm="1">
        <f t="array" aca="1" ref="V13" ca="1">IFERROR(INDEX(Holiday_names, MATCH(V12, Holidays, 0), 0), "")</f>
        <v/>
      </c>
      <c r="W13" s="21" t="str" cm="1">
        <f t="array" aca="1" ref="W13" ca="1">IFERROR(INDEX(Holiday_names, MATCH(W12, Holidays, 0), 0), "")</f>
        <v/>
      </c>
      <c r="X13" s="21" t="str" cm="1">
        <f t="array" aca="1" ref="X13" ca="1">IFERROR(INDEX(Holiday_names, MATCH(X12, Holidays, 0), 0), "")</f>
        <v/>
      </c>
      <c r="Y13" s="21" t="str" cm="1">
        <f t="array" aca="1" ref="Y13" ca="1">IFERROR(INDEX(Holiday_names, MATCH(Y12, Holidays, 0), 0), "")</f>
        <v/>
      </c>
      <c r="Z13" s="22" t="str" cm="1">
        <f t="array" aca="1" ref="Z13" ca="1">IFERROR(INDEX(Holiday_names, MATCH(Z12, Holidays, 0), 0), "")</f>
        <v/>
      </c>
      <c r="AA13" s="19" t="str" cm="1">
        <f t="array" aca="1" ref="AA13" ca="1">IFERROR(INDEX(Holiday_names, MATCH(AA12, Holidays, 0), 0), "")</f>
        <v/>
      </c>
      <c r="AC13" s="2" t="str" cm="1">
        <f t="array" aca="1" ref="AC13" ca="1">IF(OR(DAY(AD12:AJ12)=15), TEXT(AD12, "mmm")," ")</f>
        <v xml:space="preserve"> </v>
      </c>
      <c r="AD13" s="19" t="str" cm="1">
        <f t="array" aca="1" ref="AD13" ca="1">_xlfn.TEXTJOIN(", ", TRUE, _xlfn.XLOOKUP(('Support Calendars'!AD12 &gt;= Events[Start Date] )* ('Support Calendars'!AD12 &lt;= Events[End Date]) * (ISNUMBER(SEARCH(WEEKDAY(AD12),Events[Days Numbered]))) * Events[Entry],Events[Entry],Events[Event Name],"",0))</f>
        <v/>
      </c>
      <c r="AE13" s="20" t="str" cm="1">
        <f t="array" aca="1" ref="AE13" ca="1">_xlfn.TEXTJOIN(", ", TRUE, _xlfn.XLOOKUP(('Support Calendars'!AE12 &gt;= Events[Start Date] )* ('Support Calendars'!AE12 &lt;= Events[End Date]) * (ISNUMBER(SEARCH(WEEKDAY(AE12),Events[Days Numbered]))) * Events[Entry],Events[Entry],Events[Event Name],"",0))</f>
        <v/>
      </c>
      <c r="AF13" s="21" t="str" cm="1">
        <f t="array" aca="1" ref="AF13" ca="1">_xlfn.TEXTJOIN(", ", TRUE, _xlfn.XLOOKUP(('Support Calendars'!AF12 &gt;= Events[Start Date] )* ('Support Calendars'!AF12 &lt;= Events[End Date]) * (ISNUMBER(SEARCH(WEEKDAY(AF12),Events[Days Numbered]))) * Events[Entry],Events[Entry],Events[Event Name],"",0))</f>
        <v/>
      </c>
      <c r="AG13" s="21" t="str" cm="1">
        <f t="array" aca="1" ref="AG13" ca="1">_xlfn.TEXTJOIN(", ", TRUE, _xlfn.XLOOKUP(('Support Calendars'!AG12 &gt;= Events[Start Date] )* ('Support Calendars'!AG12 &lt;= Events[End Date]) * (ISNUMBER(SEARCH(WEEKDAY(AG12),Events[Days Numbered]))) * Events[Entry],Events[Entry],Events[Event Name],"",0))</f>
        <v/>
      </c>
      <c r="AH13" s="21" t="str" cm="1">
        <f t="array" aca="1" ref="AH13" ca="1">_xlfn.TEXTJOIN(", ", TRUE, _xlfn.XLOOKUP(('Support Calendars'!AH12 &gt;= Events[Start Date] )* ('Support Calendars'!AH12 &lt;= Events[End Date]) * (ISNUMBER(SEARCH(WEEKDAY(AH12),Events[Days Numbered]))) * Events[Entry],Events[Entry],Events[Event Name],"",0))</f>
        <v/>
      </c>
      <c r="AI13" s="22" t="str" cm="1">
        <f t="array" aca="1" ref="AI13" ca="1">_xlfn.TEXTJOIN(", ", TRUE, _xlfn.XLOOKUP(('Support Calendars'!AI12 &gt;= Events[Start Date] )* ('Support Calendars'!AI12 &lt;= Events[End Date]) * (ISNUMBER(SEARCH(WEEKDAY(AI12),Events[Days Numbered]))) * Events[Entry],Events[Entry],Events[Event Name],"",0))</f>
        <v/>
      </c>
      <c r="AJ13" s="19" t="str" cm="1">
        <f t="array" aca="1" ref="AJ13" ca="1">_xlfn.TEXTJOIN(", ", TRUE, _xlfn.XLOOKUP(('Support Calendars'!AJ12 &gt;= Events[Start Date] )* ('Support Calendars'!AJ12 &lt;= Events[End Date]) * (ISNUMBER(SEARCH(WEEKDAY(AJ12),Events[Days Numbered]))) * Events[Entry],Events[Entry],Events[Event Name],"",0))</f>
        <v/>
      </c>
    </row>
    <row r="14" spans="2:36" x14ac:dyDescent="0.25">
      <c r="B14" s="2"/>
      <c r="C14" s="12">
        <f ca="1">I12 + 1</f>
        <v>44990</v>
      </c>
      <c r="D14" s="16">
        <f ca="1">C14+ 1</f>
        <v>44991</v>
      </c>
      <c r="E14" s="17">
        <f t="shared" ref="E14:I14" ca="1" si="64">D14+ 1</f>
        <v>44992</v>
      </c>
      <c r="F14" s="17">
        <f t="shared" ca="1" si="64"/>
        <v>44993</v>
      </c>
      <c r="G14" s="17">
        <f t="shared" ca="1" si="64"/>
        <v>44994</v>
      </c>
      <c r="H14" s="18">
        <f t="shared" ca="1" si="64"/>
        <v>44995</v>
      </c>
      <c r="I14" s="12">
        <f t="shared" ca="1" si="64"/>
        <v>44996</v>
      </c>
      <c r="K14" s="2"/>
      <c r="L14" s="12">
        <f ca="1">R12 + 1</f>
        <v>44990</v>
      </c>
      <c r="M14" s="16">
        <f ca="1">L14+ 1</f>
        <v>44991</v>
      </c>
      <c r="N14" s="17">
        <f t="shared" ref="N14" ca="1" si="65">M14+ 1</f>
        <v>44992</v>
      </c>
      <c r="O14" s="17">
        <f t="shared" ref="O14" ca="1" si="66">N14+ 1</f>
        <v>44993</v>
      </c>
      <c r="P14" s="17">
        <f t="shared" ref="P14" ca="1" si="67">O14+ 1</f>
        <v>44994</v>
      </c>
      <c r="Q14" s="18">
        <f t="shared" ref="Q14" ca="1" si="68">P14+ 1</f>
        <v>44995</v>
      </c>
      <c r="R14" s="12">
        <f t="shared" ref="R14" ca="1" si="69">Q14+ 1</f>
        <v>44996</v>
      </c>
      <c r="T14" s="2"/>
      <c r="U14" s="12">
        <f ca="1">AA12 + 1</f>
        <v>44990</v>
      </c>
      <c r="V14" s="16">
        <f ca="1">U14+ 1</f>
        <v>44991</v>
      </c>
      <c r="W14" s="17">
        <f t="shared" ref="W14" ca="1" si="70">V14+ 1</f>
        <v>44992</v>
      </c>
      <c r="X14" s="17">
        <f t="shared" ref="X14" ca="1" si="71">W14+ 1</f>
        <v>44993</v>
      </c>
      <c r="Y14" s="17">
        <f t="shared" ref="Y14" ca="1" si="72">X14+ 1</f>
        <v>44994</v>
      </c>
      <c r="Z14" s="18">
        <f t="shared" ref="Z14" ca="1" si="73">Y14+ 1</f>
        <v>44995</v>
      </c>
      <c r="AA14" s="12">
        <f t="shared" ref="AA14" ca="1" si="74">Z14+ 1</f>
        <v>44996</v>
      </c>
      <c r="AC14" s="2"/>
      <c r="AD14" s="12">
        <f ca="1">AJ12 + 1</f>
        <v>44990</v>
      </c>
      <c r="AE14" s="16">
        <f ca="1">AD14+ 1</f>
        <v>44991</v>
      </c>
      <c r="AF14" s="17">
        <f t="shared" ref="AF14" ca="1" si="75">AE14+ 1</f>
        <v>44992</v>
      </c>
      <c r="AG14" s="17">
        <f t="shared" ref="AG14" ca="1" si="76">AF14+ 1</f>
        <v>44993</v>
      </c>
      <c r="AH14" s="17">
        <f t="shared" ref="AH14" ca="1" si="77">AG14+ 1</f>
        <v>44994</v>
      </c>
      <c r="AI14" s="18">
        <f t="shared" ref="AI14" ca="1" si="78">AH14+ 1</f>
        <v>44995</v>
      </c>
      <c r="AJ14" s="12">
        <f t="shared" ref="AJ14" ca="1" si="79">AI14+ 1</f>
        <v>44996</v>
      </c>
    </row>
    <row r="15" spans="2:36" ht="45" x14ac:dyDescent="0.25">
      <c r="B15" s="2" t="str" cm="1">
        <f t="array" aca="1" ref="B15" ca="1">IF(OR(DAY(C14:I14)=15), TEXT(C14, "mmm")," ")</f>
        <v xml:space="preserve"> </v>
      </c>
      <c r="C15" s="19" t="str" cm="1">
        <f t="array" aca="1" ref="C15" ca="1">IFERROR(INDEX(Holiday_names, MATCH(C14, Holidays, 0), 0), "")</f>
        <v/>
      </c>
      <c r="D15" s="20" t="str" cm="1">
        <f t="array" aca="1" ref="D15" ca="1">IFERROR(INDEX(Holiday_names, MATCH(D14, Holidays, 0), 0), "")</f>
        <v/>
      </c>
      <c r="E15" s="21" t="str" cm="1">
        <f t="array" aca="1" ref="E15" ca="1">IFERROR(INDEX(Holiday_names, MATCH(E14, Holidays, 0), 0), "")</f>
        <v/>
      </c>
      <c r="F15" s="21" t="str" cm="1">
        <f t="array" aca="1" ref="F15" ca="1">IFERROR(INDEX(Holiday_names, MATCH(F14, Holidays, 0), 0), "")</f>
        <v/>
      </c>
      <c r="G15" s="21" t="str" cm="1">
        <f t="array" aca="1" ref="G15" ca="1">IFERROR(INDEX(Holiday_names, MATCH(G14, Holidays, 0), 0), "")</f>
        <v/>
      </c>
      <c r="H15" s="22" t="str" cm="1">
        <f t="array" aca="1" ref="H15" ca="1">IFERROR(INDEX(Holiday_names, MATCH(H14, Holidays, 0), 0), "")</f>
        <v/>
      </c>
      <c r="I15" s="19" t="str" cm="1">
        <f t="array" aca="1" ref="I15" ca="1">IFERROR(INDEX(Holiday_names, MATCH(I14, Holidays, 0), 0), "")</f>
        <v/>
      </c>
      <c r="K15" s="2" t="str" cm="1">
        <f t="array" aca="1" ref="K15" ca="1">IF(OR(DAY(L14:R14)=15), TEXT(L14, "mmm")," ")</f>
        <v xml:space="preserve"> </v>
      </c>
      <c r="L15" s="19" t="str" cm="1">
        <f t="array" aca="1" ref="L15" ca="1">_xlfn.TEXTJOIN(", ", TRUE, _xlfn.XLOOKUP(('Support Calendars'!L14 &gt;= Events[Start Date] )* ('Support Calendars'!L14 &lt;= Events[End Date]) * (ISNUMBER(SEARCH(WEEKDAY(L14),Events[Days Numbered]))) * Events[Entry],Events[Entry],Events[Event Name],"",0))</f>
        <v/>
      </c>
      <c r="M15" s="20" t="str" cm="1">
        <f t="array" aca="1" ref="M15" ca="1">_xlfn.TEXTJOIN(", ", TRUE, _xlfn.XLOOKUP(('Support Calendars'!M14 &gt;= Events[Start Date] )* ('Support Calendars'!M14 &lt;= Events[End Date]) * (ISNUMBER(SEARCH(WEEKDAY(M14),Events[Days Numbered]))) * Events[Entry],Events[Entry],Events[Event Name],"",0))</f>
        <v/>
      </c>
      <c r="N15" s="21" t="str" cm="1">
        <f t="array" aca="1" ref="N15" ca="1">_xlfn.TEXTJOIN(", ", TRUE, _xlfn.XLOOKUP(('Support Calendars'!N14 &gt;= Events[Start Date] )* ('Support Calendars'!N14 &lt;= Events[End Date]) * (ISNUMBER(SEARCH(WEEKDAY(N14),Events[Days Numbered]))) * Events[Entry],Events[Entry],Events[Event Name],"",0))</f>
        <v/>
      </c>
      <c r="O15" s="21" t="str" cm="1">
        <f t="array" aca="1" ref="O15" ca="1">_xlfn.TEXTJOIN(", ", TRUE, _xlfn.XLOOKUP(('Support Calendars'!O14 &gt;= Events[Start Date] )* ('Support Calendars'!O14 &lt;= Events[End Date]) * (ISNUMBER(SEARCH(WEEKDAY(O14),Events[Days Numbered]))) * Events[Entry],Events[Entry],Events[Event Name],"",0))</f>
        <v/>
      </c>
      <c r="P15" s="21" t="str" cm="1">
        <f t="array" aca="1" ref="P15" ca="1">_xlfn.TEXTJOIN(", ", TRUE, _xlfn.XLOOKUP(('Support Calendars'!P14 &gt;= Events[Start Date] )* ('Support Calendars'!P14 &lt;= Events[End Date]) * (ISNUMBER(SEARCH(WEEKDAY(P14),Events[Days Numbered]))) * Events[Entry],Events[Entry],Events[Event Name],"",0))</f>
        <v/>
      </c>
      <c r="Q15" s="22" t="str" cm="1">
        <f t="array" aca="1" ref="Q15" ca="1">_xlfn.TEXTJOIN(", ", TRUE, _xlfn.XLOOKUP(('Support Calendars'!Q14 &gt;= Events[Start Date] )* ('Support Calendars'!Q14 &lt;= Events[End Date]) * (ISNUMBER(SEARCH(WEEKDAY(Q14),Events[Days Numbered]))) * Events[Entry],Events[Entry],Events[Event Name],"",0))</f>
        <v/>
      </c>
      <c r="R15" s="19" t="str" cm="1">
        <f t="array" aca="1" ref="R15" ca="1">_xlfn.TEXTJOIN(", ", TRUE, _xlfn.XLOOKUP(('Support Calendars'!R14 &gt;= Events[Start Date] )* ('Support Calendars'!R14 &lt;= Events[End Date]) * (ISNUMBER(SEARCH(WEEKDAY(R14),Events[Days Numbered]))) * Events[Entry],Events[Entry],Events[Event Name],"",0))</f>
        <v/>
      </c>
      <c r="T15" s="2" t="str" cm="1">
        <f t="array" aca="1" ref="T15" ca="1">IF(OR(DAY(U14:AA14)=15), TEXT(U14, "mmm")," ")</f>
        <v xml:space="preserve"> </v>
      </c>
      <c r="U15" s="19" t="str" cm="1">
        <f t="array" aca="1" ref="U15" ca="1">IFERROR(INDEX(Holiday_names, MATCH(U14, Holidays, 0), 0), "")</f>
        <v/>
      </c>
      <c r="V15" s="20" t="str" cm="1">
        <f t="array" aca="1" ref="V15" ca="1">IFERROR(INDEX(Holiday_names, MATCH(V14, Holidays, 0), 0), "")</f>
        <v/>
      </c>
      <c r="W15" s="21" t="str" cm="1">
        <f t="array" aca="1" ref="W15" ca="1">IFERROR(INDEX(Holiday_names, MATCH(W14, Holidays, 0), 0), "")</f>
        <v/>
      </c>
      <c r="X15" s="21" t="str" cm="1">
        <f t="array" aca="1" ref="X15" ca="1">IFERROR(INDEX(Holiday_names, MATCH(X14, Holidays, 0), 0), "")</f>
        <v/>
      </c>
      <c r="Y15" s="21" t="str" cm="1">
        <f t="array" aca="1" ref="Y15" ca="1">IFERROR(INDEX(Holiday_names, MATCH(Y14, Holidays, 0), 0), "")</f>
        <v/>
      </c>
      <c r="Z15" s="22" t="str" cm="1">
        <f t="array" aca="1" ref="Z15" ca="1">IFERROR(INDEX(Holiday_names, MATCH(Z14, Holidays, 0), 0), "")</f>
        <v/>
      </c>
      <c r="AA15" s="19" t="str" cm="1">
        <f t="array" aca="1" ref="AA15" ca="1">IFERROR(INDEX(Holiday_names, MATCH(AA14, Holidays, 0), 0), "")</f>
        <v/>
      </c>
      <c r="AC15" s="2" t="str" cm="1">
        <f t="array" aca="1" ref="AC15" ca="1">IF(OR(DAY(AD14:AJ14)=15), TEXT(AD14, "mmm")," ")</f>
        <v xml:space="preserve"> </v>
      </c>
      <c r="AD15" s="19" t="str" cm="1">
        <f t="array" aca="1" ref="AD15" ca="1">_xlfn.TEXTJOIN(", ", TRUE, _xlfn.XLOOKUP(('Support Calendars'!AD14 &gt;= Events[Start Date] )* ('Support Calendars'!AD14 &lt;= Events[End Date]) * (ISNUMBER(SEARCH(WEEKDAY(AD14),Events[Days Numbered]))) * Events[Entry],Events[Entry],Events[Event Name],"",0))</f>
        <v/>
      </c>
      <c r="AE15" s="20" t="str" cm="1">
        <f t="array" aca="1" ref="AE15" ca="1">_xlfn.TEXTJOIN(", ", TRUE, _xlfn.XLOOKUP(('Support Calendars'!AE14 &gt;= Events[Start Date] )* ('Support Calendars'!AE14 &lt;= Events[End Date]) * (ISNUMBER(SEARCH(WEEKDAY(AE14),Events[Days Numbered]))) * Events[Entry],Events[Entry],Events[Event Name],"",0))</f>
        <v/>
      </c>
      <c r="AF15" s="21" t="str" cm="1">
        <f t="array" aca="1" ref="AF15" ca="1">_xlfn.TEXTJOIN(", ", TRUE, _xlfn.XLOOKUP(('Support Calendars'!AF14 &gt;= Events[Start Date] )* ('Support Calendars'!AF14 &lt;= Events[End Date]) * (ISNUMBER(SEARCH(WEEKDAY(AF14),Events[Days Numbered]))) * Events[Entry],Events[Entry],Events[Event Name],"",0))</f>
        <v/>
      </c>
      <c r="AG15" s="21" t="str" cm="1">
        <f t="array" aca="1" ref="AG15" ca="1">_xlfn.TEXTJOIN(", ", TRUE, _xlfn.XLOOKUP(('Support Calendars'!AG14 &gt;= Events[Start Date] )* ('Support Calendars'!AG14 &lt;= Events[End Date]) * (ISNUMBER(SEARCH(WEEKDAY(AG14),Events[Days Numbered]))) * Events[Entry],Events[Entry],Events[Event Name],"",0))</f>
        <v/>
      </c>
      <c r="AH15" s="21" t="str" cm="1">
        <f t="array" aca="1" ref="AH15" ca="1">_xlfn.TEXTJOIN(", ", TRUE, _xlfn.XLOOKUP(('Support Calendars'!AH14 &gt;= Events[Start Date] )* ('Support Calendars'!AH14 &lt;= Events[End Date]) * (ISNUMBER(SEARCH(WEEKDAY(AH14),Events[Days Numbered]))) * Events[Entry],Events[Entry],Events[Event Name],"",0))</f>
        <v/>
      </c>
      <c r="AI15" s="22" t="str" cm="1">
        <f t="array" aca="1" ref="AI15" ca="1">_xlfn.TEXTJOIN(", ", TRUE, _xlfn.XLOOKUP(('Support Calendars'!AI14 &gt;= Events[Start Date] )* ('Support Calendars'!AI14 &lt;= Events[End Date]) * (ISNUMBER(SEARCH(WEEKDAY(AI14),Events[Days Numbered]))) * Events[Entry],Events[Entry],Events[Event Name],"",0))</f>
        <v/>
      </c>
      <c r="AJ15" s="19" t="str" cm="1">
        <f t="array" aca="1" ref="AJ15" ca="1">_xlfn.TEXTJOIN(", ", TRUE, _xlfn.XLOOKUP(('Support Calendars'!AJ14 &gt;= Events[Start Date] )* ('Support Calendars'!AJ14 &lt;= Events[End Date]) * (ISNUMBER(SEARCH(WEEKDAY(AJ14),Events[Days Numbered]))) * Events[Entry],Events[Entry],Events[Event Name],"",0))</f>
        <v/>
      </c>
    </row>
    <row r="16" spans="2:36" x14ac:dyDescent="0.25">
      <c r="B16" s="2"/>
      <c r="C16" s="12">
        <f ca="1">I14 + 1</f>
        <v>44997</v>
      </c>
      <c r="D16" s="16">
        <f ca="1">C16+ 1</f>
        <v>44998</v>
      </c>
      <c r="E16" s="17">
        <f t="shared" ref="E16:I16" ca="1" si="80">D16+ 1</f>
        <v>44999</v>
      </c>
      <c r="F16" s="17">
        <f t="shared" ca="1" si="80"/>
        <v>45000</v>
      </c>
      <c r="G16" s="17">
        <f t="shared" ca="1" si="80"/>
        <v>45001</v>
      </c>
      <c r="H16" s="18">
        <f t="shared" ca="1" si="80"/>
        <v>45002</v>
      </c>
      <c r="I16" s="12">
        <f t="shared" ca="1" si="80"/>
        <v>45003</v>
      </c>
      <c r="K16" s="2"/>
      <c r="L16" s="12">
        <f ca="1">R14 + 1</f>
        <v>44997</v>
      </c>
      <c r="M16" s="16">
        <f ca="1">L16+ 1</f>
        <v>44998</v>
      </c>
      <c r="N16" s="17">
        <f t="shared" ref="N16" ca="1" si="81">M16+ 1</f>
        <v>44999</v>
      </c>
      <c r="O16" s="17">
        <f t="shared" ref="O16" ca="1" si="82">N16+ 1</f>
        <v>45000</v>
      </c>
      <c r="P16" s="17">
        <f t="shared" ref="P16" ca="1" si="83">O16+ 1</f>
        <v>45001</v>
      </c>
      <c r="Q16" s="18">
        <f t="shared" ref="Q16" ca="1" si="84">P16+ 1</f>
        <v>45002</v>
      </c>
      <c r="R16" s="12">
        <f t="shared" ref="R16" ca="1" si="85">Q16+ 1</f>
        <v>45003</v>
      </c>
    </row>
    <row r="17" spans="2:18" ht="30" x14ac:dyDescent="0.25">
      <c r="B17" s="2" t="str" cm="1">
        <f t="array" aca="1" ref="B17" ca="1">IF(OR(DAY(C16:I16)=15), TEXT(C16, "mmm")," ")</f>
        <v>Mar</v>
      </c>
      <c r="C17" s="19" t="str" cm="1">
        <f t="array" aca="1" ref="C17" ca="1">IFERROR(INDEX(Holiday_names, MATCH(C16, Holidays, 0), 0), "")</f>
        <v/>
      </c>
      <c r="D17" s="20" t="str" cm="1">
        <f t="array" aca="1" ref="D17" ca="1">IFERROR(INDEX(Holiday_names, MATCH(D16, Holidays, 0), 0), "")</f>
        <v/>
      </c>
      <c r="E17" s="21" t="str" cm="1">
        <f t="array" aca="1" ref="E17" ca="1">IFERROR(INDEX(Holiday_names, MATCH(E16, Holidays, 0), 0), "")</f>
        <v/>
      </c>
      <c r="F17" s="21" t="str" cm="1">
        <f t="array" aca="1" ref="F17" ca="1">IFERROR(INDEX(Holiday_names, MATCH(F16, Holidays, 0), 0), "")</f>
        <v/>
      </c>
      <c r="G17" s="21" t="str" cm="1">
        <f t="array" aca="1" ref="G17" ca="1">IFERROR(INDEX(Holiday_names, MATCH(G16, Holidays, 0), 0), "")</f>
        <v/>
      </c>
      <c r="H17" s="22" t="str" cm="1">
        <f t="array" aca="1" ref="H17" ca="1">IFERROR(INDEX(Holiday_names, MATCH(H16, Holidays, 0), 0), "")</f>
        <v/>
      </c>
      <c r="I17" s="19" t="str" cm="1">
        <f t="array" aca="1" ref="I17" ca="1">IFERROR(INDEX(Holiday_names, MATCH(I16, Holidays, 0), 0), "")</f>
        <v/>
      </c>
      <c r="K17" s="2" t="str" cm="1">
        <f t="array" aca="1" ref="K17" ca="1">IF(OR(DAY(L16:R16)=15), TEXT(L16, "mmm")," ")</f>
        <v>Mar</v>
      </c>
      <c r="L17" s="19" t="str" cm="1">
        <f t="array" aca="1" ref="L17" ca="1">_xlfn.TEXTJOIN(", ", TRUE, _xlfn.XLOOKUP(('Support Calendars'!L16 &gt;= Events[Start Date] )* ('Support Calendars'!L16 &lt;= Events[End Date]) * (ISNUMBER(SEARCH(WEEKDAY(L16),Events[Days Numbered]))) * Events[Entry],Events[Entry],Events[Event Name],"",0))</f>
        <v/>
      </c>
      <c r="M17" s="20" t="str" cm="1">
        <f t="array" aca="1" ref="M17" ca="1">_xlfn.TEXTJOIN(", ", TRUE, _xlfn.XLOOKUP(('Support Calendars'!M16 &gt;= Events[Start Date] )* ('Support Calendars'!M16 &lt;= Events[End Date]) * (ISNUMBER(SEARCH(WEEKDAY(M16),Events[Days Numbered]))) * Events[Entry],Events[Entry],Events[Event Name],"",0))</f>
        <v/>
      </c>
      <c r="N17" s="21" t="str" cm="1">
        <f t="array" aca="1" ref="N17" ca="1">_xlfn.TEXTJOIN(", ", TRUE, _xlfn.XLOOKUP(('Support Calendars'!N16 &gt;= Events[Start Date] )* ('Support Calendars'!N16 &lt;= Events[End Date]) * (ISNUMBER(SEARCH(WEEKDAY(N16),Events[Days Numbered]))) * Events[Entry],Events[Entry],Events[Event Name],"",0))</f>
        <v/>
      </c>
      <c r="O17" s="21" t="str" cm="1">
        <f t="array" aca="1" ref="O17" ca="1">_xlfn.TEXTJOIN(", ", TRUE, _xlfn.XLOOKUP(('Support Calendars'!O16 &gt;= Events[Start Date] )* ('Support Calendars'!O16 &lt;= Events[End Date]) * (ISNUMBER(SEARCH(WEEKDAY(O16),Events[Days Numbered]))) * Events[Entry],Events[Entry],Events[Event Name],"",0))</f>
        <v/>
      </c>
      <c r="P17" s="21" t="str" cm="1">
        <f t="array" aca="1" ref="P17" ca="1">_xlfn.TEXTJOIN(", ", TRUE, _xlfn.XLOOKUP(('Support Calendars'!P16 &gt;= Events[Start Date] )* ('Support Calendars'!P16 &lt;= Events[End Date]) * (ISNUMBER(SEARCH(WEEKDAY(P16),Events[Days Numbered]))) * Events[Entry],Events[Entry],Events[Event Name],"",0))</f>
        <v/>
      </c>
      <c r="Q17" s="22" t="str" cm="1">
        <f t="array" aca="1" ref="Q17" ca="1">_xlfn.TEXTJOIN(", ", TRUE, _xlfn.XLOOKUP(('Support Calendars'!Q16 &gt;= Events[Start Date] )* ('Support Calendars'!Q16 &lt;= Events[End Date]) * (ISNUMBER(SEARCH(WEEKDAY(Q16),Events[Days Numbered]))) * Events[Entry],Events[Entry],Events[Event Name],"",0))</f>
        <v/>
      </c>
      <c r="R17" s="19" t="str" cm="1">
        <f t="array" aca="1" ref="R17" ca="1">_xlfn.TEXTJOIN(", ", TRUE, _xlfn.XLOOKUP(('Support Calendars'!R16 &gt;= Events[Start Date] )* ('Support Calendars'!R16 &lt;= Events[End Date]) * (ISNUMBER(SEARCH(WEEKDAY(R16),Events[Days Numbered]))) * Events[Entry],Events[Entry],Events[Event Name],"",0))</f>
        <v/>
      </c>
    </row>
    <row r="18" spans="2:18" x14ac:dyDescent="0.25">
      <c r="B18" s="2"/>
      <c r="C18" s="12">
        <f ca="1">I16 + 1</f>
        <v>45004</v>
      </c>
      <c r="D18" s="16">
        <f ca="1">C18+ 1</f>
        <v>45005</v>
      </c>
      <c r="E18" s="17">
        <f t="shared" ref="E18:I18" ca="1" si="86">D18+ 1</f>
        <v>45006</v>
      </c>
      <c r="F18" s="17">
        <f t="shared" ca="1" si="86"/>
        <v>45007</v>
      </c>
      <c r="G18" s="17">
        <f t="shared" ca="1" si="86"/>
        <v>45008</v>
      </c>
      <c r="H18" s="18">
        <f t="shared" ca="1" si="86"/>
        <v>45009</v>
      </c>
      <c r="I18" s="12">
        <f t="shared" ca="1" si="86"/>
        <v>45010</v>
      </c>
      <c r="K18" s="2"/>
      <c r="L18" s="12">
        <f ca="1">R16 + 1</f>
        <v>45004</v>
      </c>
      <c r="M18" s="16">
        <f ca="1">L18+ 1</f>
        <v>45005</v>
      </c>
      <c r="N18" s="17">
        <f t="shared" ref="N18" ca="1" si="87">M18+ 1</f>
        <v>45006</v>
      </c>
      <c r="O18" s="17">
        <f t="shared" ref="O18" ca="1" si="88">N18+ 1</f>
        <v>45007</v>
      </c>
      <c r="P18" s="17">
        <f t="shared" ref="P18" ca="1" si="89">O18+ 1</f>
        <v>45008</v>
      </c>
      <c r="Q18" s="18">
        <f t="shared" ref="Q18" ca="1" si="90">P18+ 1</f>
        <v>45009</v>
      </c>
      <c r="R18" s="12">
        <f t="shared" ref="R18" ca="1" si="91">Q18+ 1</f>
        <v>45010</v>
      </c>
    </row>
    <row r="19" spans="2:18" ht="30" x14ac:dyDescent="0.25">
      <c r="B19" s="2" t="str" cm="1">
        <f t="array" aca="1" ref="B19" ca="1">IF(OR(DAY(C18:I18)=15), TEXT(C18, "mmm")," ")</f>
        <v xml:space="preserve"> </v>
      </c>
      <c r="C19" s="19" t="str" cm="1">
        <f t="array" aca="1" ref="C19" ca="1">IFERROR(INDEX(Holiday_names, MATCH(C18, Holidays, 0), 0), "")</f>
        <v/>
      </c>
      <c r="D19" s="20" t="str" cm="1">
        <f t="array" aca="1" ref="D19" ca="1">IFERROR(INDEX(Holiday_names, MATCH(D18, Holidays, 0), 0), "")</f>
        <v/>
      </c>
      <c r="E19" s="21" t="str" cm="1">
        <f t="array" aca="1" ref="E19" ca="1">IFERROR(INDEX(Holiday_names, MATCH(E18, Holidays, 0), 0), "")</f>
        <v/>
      </c>
      <c r="F19" s="21" t="str" cm="1">
        <f t="array" aca="1" ref="F19" ca="1">IFERROR(INDEX(Holiday_names, MATCH(F18, Holidays, 0), 0), "")</f>
        <v/>
      </c>
      <c r="G19" s="21" t="str" cm="1">
        <f t="array" aca="1" ref="G19" ca="1">IFERROR(INDEX(Holiday_names, MATCH(G18, Holidays, 0), 0), "")</f>
        <v/>
      </c>
      <c r="H19" s="22" t="str" cm="1">
        <f t="array" aca="1" ref="H19" ca="1">IFERROR(INDEX(Holiday_names, MATCH(H18, Holidays, 0), 0), "")</f>
        <v/>
      </c>
      <c r="I19" s="19" t="str" cm="1">
        <f t="array" aca="1" ref="I19" ca="1">IFERROR(INDEX(Holiday_names, MATCH(I18, Holidays, 0), 0), "")</f>
        <v/>
      </c>
      <c r="K19" s="2" t="str" cm="1">
        <f t="array" aca="1" ref="K19" ca="1">IF(OR(DAY(L18:R18)=15), TEXT(L18, "mmm")," ")</f>
        <v xml:space="preserve"> </v>
      </c>
      <c r="L19" s="19" t="str" cm="1">
        <f t="array" aca="1" ref="L19" ca="1">_xlfn.TEXTJOIN(", ", TRUE, _xlfn.XLOOKUP(('Support Calendars'!L18 &gt;= Events[Start Date] )* ('Support Calendars'!L18 &lt;= Events[End Date]) * (ISNUMBER(SEARCH(WEEKDAY(L18),Events[Days Numbered]))) * Events[Entry],Events[Entry],Events[Event Name],"",0))</f>
        <v/>
      </c>
      <c r="M19" s="20" t="str" cm="1">
        <f t="array" aca="1" ref="M19" ca="1">_xlfn.TEXTJOIN(", ", TRUE, _xlfn.XLOOKUP(('Support Calendars'!M18 &gt;= Events[Start Date] )* ('Support Calendars'!M18 &lt;= Events[End Date]) * (ISNUMBER(SEARCH(WEEKDAY(M18),Events[Days Numbered]))) * Events[Entry],Events[Entry],Events[Event Name],"",0))</f>
        <v/>
      </c>
      <c r="N19" s="21" t="str" cm="1">
        <f t="array" aca="1" ref="N19" ca="1">_xlfn.TEXTJOIN(", ", TRUE, _xlfn.XLOOKUP(('Support Calendars'!N18 &gt;= Events[Start Date] )* ('Support Calendars'!N18 &lt;= Events[End Date]) * (ISNUMBER(SEARCH(WEEKDAY(N18),Events[Days Numbered]))) * Events[Entry],Events[Entry],Events[Event Name],"",0))</f>
        <v/>
      </c>
      <c r="O19" s="21" t="str" cm="1">
        <f t="array" aca="1" ref="O19" ca="1">_xlfn.TEXTJOIN(", ", TRUE, _xlfn.XLOOKUP(('Support Calendars'!O18 &gt;= Events[Start Date] )* ('Support Calendars'!O18 &lt;= Events[End Date]) * (ISNUMBER(SEARCH(WEEKDAY(O18),Events[Days Numbered]))) * Events[Entry],Events[Entry],Events[Event Name],"",0))</f>
        <v/>
      </c>
      <c r="P19" s="21" t="str" cm="1">
        <f t="array" aca="1" ref="P19" ca="1">_xlfn.TEXTJOIN(", ", TRUE, _xlfn.XLOOKUP(('Support Calendars'!P18 &gt;= Events[Start Date] )* ('Support Calendars'!P18 &lt;= Events[End Date]) * (ISNUMBER(SEARCH(WEEKDAY(P18),Events[Days Numbered]))) * Events[Entry],Events[Entry],Events[Event Name],"",0))</f>
        <v/>
      </c>
      <c r="Q19" s="22" t="str" cm="1">
        <f t="array" aca="1" ref="Q19" ca="1">_xlfn.TEXTJOIN(", ", TRUE, _xlfn.XLOOKUP(('Support Calendars'!Q18 &gt;= Events[Start Date] )* ('Support Calendars'!Q18 &lt;= Events[End Date]) * (ISNUMBER(SEARCH(WEEKDAY(Q18),Events[Days Numbered]))) * Events[Entry],Events[Entry],Events[Event Name],"",0))</f>
        <v/>
      </c>
      <c r="R19" s="19" t="str" cm="1">
        <f t="array" aca="1" ref="R19" ca="1">_xlfn.TEXTJOIN(", ", TRUE, _xlfn.XLOOKUP(('Support Calendars'!R18 &gt;= Events[Start Date] )* ('Support Calendars'!R18 &lt;= Events[End Date]) * (ISNUMBER(SEARCH(WEEKDAY(R18),Events[Days Numbered]))) * Events[Entry],Events[Entry],Events[Event Name],"",0))</f>
        <v/>
      </c>
    </row>
    <row r="20" spans="2:18" x14ac:dyDescent="0.25">
      <c r="B20" s="2"/>
      <c r="C20" s="12">
        <f ca="1">I18 + 1</f>
        <v>45011</v>
      </c>
      <c r="D20" s="16">
        <f ca="1">C20+ 1</f>
        <v>45012</v>
      </c>
      <c r="E20" s="17">
        <f t="shared" ref="E20:I20" ca="1" si="92">D20+ 1</f>
        <v>45013</v>
      </c>
      <c r="F20" s="17">
        <f t="shared" ca="1" si="92"/>
        <v>45014</v>
      </c>
      <c r="G20" s="17">
        <f t="shared" ca="1" si="92"/>
        <v>45015</v>
      </c>
      <c r="H20" s="18">
        <f t="shared" ca="1" si="92"/>
        <v>45016</v>
      </c>
      <c r="I20" s="12">
        <f t="shared" ca="1" si="92"/>
        <v>45017</v>
      </c>
      <c r="K20" s="2"/>
      <c r="L20" s="12">
        <f ca="1">R18 + 1</f>
        <v>45011</v>
      </c>
      <c r="M20" s="16">
        <f ca="1">L20+ 1</f>
        <v>45012</v>
      </c>
      <c r="N20" s="17">
        <f t="shared" ref="N20" ca="1" si="93">M20+ 1</f>
        <v>45013</v>
      </c>
      <c r="O20" s="17">
        <f t="shared" ref="O20" ca="1" si="94">N20+ 1</f>
        <v>45014</v>
      </c>
      <c r="P20" s="17">
        <f t="shared" ref="P20" ca="1" si="95">O20+ 1</f>
        <v>45015</v>
      </c>
      <c r="Q20" s="18">
        <f t="shared" ref="Q20" ca="1" si="96">P20+ 1</f>
        <v>45016</v>
      </c>
      <c r="R20" s="12">
        <f t="shared" ref="R20" ca="1" si="97">Q20+ 1</f>
        <v>45017</v>
      </c>
    </row>
    <row r="21" spans="2:18" x14ac:dyDescent="0.25">
      <c r="B21" s="2" t="str" cm="1">
        <f t="array" aca="1" ref="B21" ca="1">IF(OR(DAY(C20:I20)=15), TEXT(C20, "mmm")," ")</f>
        <v xml:space="preserve"> </v>
      </c>
      <c r="C21" s="19" t="str" cm="1">
        <f t="array" aca="1" ref="C21" ca="1">IFERROR(INDEX(Holiday_names, MATCH(C20, Holidays, 0), 0), "")</f>
        <v/>
      </c>
      <c r="D21" s="20" t="str" cm="1">
        <f t="array" aca="1" ref="D21" ca="1">IFERROR(INDEX(Holiday_names, MATCH(D20, Holidays, 0), 0), "")</f>
        <v/>
      </c>
      <c r="E21" s="21" t="str" cm="1">
        <f t="array" aca="1" ref="E21" ca="1">IFERROR(INDEX(Holiday_names, MATCH(E20, Holidays, 0), 0), "")</f>
        <v/>
      </c>
      <c r="F21" s="21" t="str" cm="1">
        <f t="array" aca="1" ref="F21" ca="1">IFERROR(INDEX(Holiday_names, MATCH(F20, Holidays, 0), 0), "")</f>
        <v/>
      </c>
      <c r="G21" s="21" t="str" cm="1">
        <f t="array" aca="1" ref="G21" ca="1">IFERROR(INDEX(Holiday_names, MATCH(G20, Holidays, 0), 0), "")</f>
        <v/>
      </c>
      <c r="H21" s="22" t="str" cm="1">
        <f t="array" aca="1" ref="H21" ca="1">IFERROR(INDEX(Holiday_names, MATCH(H20, Holidays, 0), 0), "")</f>
        <v/>
      </c>
      <c r="I21" s="19" t="str" cm="1">
        <f t="array" aca="1" ref="I21" ca="1">IFERROR(INDEX(Holiday_names, MATCH(I20, Holidays, 0), 0), "")</f>
        <v/>
      </c>
      <c r="K21" s="2" t="str" cm="1">
        <f t="array" aca="1" ref="K21" ca="1">IF(OR(DAY(L20:R20)=15), TEXT(L20, "mmm")," ")</f>
        <v xml:space="preserve"> </v>
      </c>
      <c r="L21" s="19" t="str" cm="1">
        <f t="array" aca="1" ref="L21" ca="1">_xlfn.TEXTJOIN(", ", TRUE, _xlfn.XLOOKUP(('Support Calendars'!L20 &gt;= Events[Start Date] )* ('Support Calendars'!L20 &lt;= Events[End Date]) * (ISNUMBER(SEARCH(WEEKDAY(L20),Events[Days Numbered]))) * Events[Entry],Events[Entry],Events[Event Name],"",0))</f>
        <v/>
      </c>
      <c r="M21" s="20" t="str" cm="1">
        <f t="array" aca="1" ref="M21" ca="1">_xlfn.TEXTJOIN(", ", TRUE, _xlfn.XLOOKUP(('Support Calendars'!M20 &gt;= Events[Start Date] )* ('Support Calendars'!M20 &lt;= Events[End Date]) * (ISNUMBER(SEARCH(WEEKDAY(M20),Events[Days Numbered]))) * Events[Entry],Events[Entry],Events[Event Name],"",0))</f>
        <v/>
      </c>
      <c r="N21" s="21" t="str" cm="1">
        <f t="array" aca="1" ref="N21" ca="1">_xlfn.TEXTJOIN(", ", TRUE, _xlfn.XLOOKUP(('Support Calendars'!N20 &gt;= Events[Start Date] )* ('Support Calendars'!N20 &lt;= Events[End Date]) * (ISNUMBER(SEARCH(WEEKDAY(N20),Events[Days Numbered]))) * Events[Entry],Events[Entry],Events[Event Name],"",0))</f>
        <v/>
      </c>
      <c r="O21" s="21" t="str" cm="1">
        <f t="array" aca="1" ref="O21" ca="1">_xlfn.TEXTJOIN(", ", TRUE, _xlfn.XLOOKUP(('Support Calendars'!O20 &gt;= Events[Start Date] )* ('Support Calendars'!O20 &lt;= Events[End Date]) * (ISNUMBER(SEARCH(WEEKDAY(O20),Events[Days Numbered]))) * Events[Entry],Events[Entry],Events[Event Name],"",0))</f>
        <v/>
      </c>
      <c r="P21" s="21" t="str" cm="1">
        <f t="array" aca="1" ref="P21" ca="1">_xlfn.TEXTJOIN(", ", TRUE, _xlfn.XLOOKUP(('Support Calendars'!P20 &gt;= Events[Start Date] )* ('Support Calendars'!P20 &lt;= Events[End Date]) * (ISNUMBER(SEARCH(WEEKDAY(P20),Events[Days Numbered]))) * Events[Entry],Events[Entry],Events[Event Name],"",0))</f>
        <v/>
      </c>
      <c r="Q21" s="22" t="str" cm="1">
        <f t="array" aca="1" ref="Q21" ca="1">_xlfn.TEXTJOIN(", ", TRUE, _xlfn.XLOOKUP(('Support Calendars'!Q20 &gt;= Events[Start Date] )* ('Support Calendars'!Q20 &lt;= Events[End Date]) * (ISNUMBER(SEARCH(WEEKDAY(Q20),Events[Days Numbered]))) * Events[Entry],Events[Entry],Events[Event Name],"",0))</f>
        <v/>
      </c>
      <c r="R21" s="19" t="str" cm="1">
        <f t="array" aca="1" ref="R21" ca="1">_xlfn.TEXTJOIN(", ", TRUE, _xlfn.XLOOKUP(('Support Calendars'!R20 &gt;= Events[Start Date] )* ('Support Calendars'!R20 &lt;= Events[End Date]) * (ISNUMBER(SEARCH(WEEKDAY(R20),Events[Days Numbered]))) * Events[Entry],Events[Entry],Events[Event Name],"",0))</f>
        <v/>
      </c>
    </row>
    <row r="22" spans="2:18" x14ac:dyDescent="0.25">
      <c r="B22" s="2"/>
      <c r="C22" s="12">
        <f ca="1">I20 + 1</f>
        <v>45018</v>
      </c>
      <c r="D22" s="16">
        <f ca="1">C22+ 1</f>
        <v>45019</v>
      </c>
      <c r="E22" s="17">
        <f t="shared" ref="E22:I22" ca="1" si="98">D22+ 1</f>
        <v>45020</v>
      </c>
      <c r="F22" s="17">
        <f t="shared" ca="1" si="98"/>
        <v>45021</v>
      </c>
      <c r="G22" s="17">
        <f t="shared" ca="1" si="98"/>
        <v>45022</v>
      </c>
      <c r="H22" s="18">
        <f t="shared" ca="1" si="98"/>
        <v>45023</v>
      </c>
      <c r="I22" s="12">
        <f t="shared" ca="1" si="98"/>
        <v>45024</v>
      </c>
      <c r="K22" s="2"/>
      <c r="L22" s="12">
        <f ca="1">R20 + 1</f>
        <v>45018</v>
      </c>
      <c r="M22" s="16">
        <f ca="1">L22+ 1</f>
        <v>45019</v>
      </c>
      <c r="N22" s="17">
        <f t="shared" ref="N22" ca="1" si="99">M22+ 1</f>
        <v>45020</v>
      </c>
      <c r="O22" s="17">
        <f t="shared" ref="O22" ca="1" si="100">N22+ 1</f>
        <v>45021</v>
      </c>
      <c r="P22" s="17">
        <f t="shared" ref="P22" ca="1" si="101">O22+ 1</f>
        <v>45022</v>
      </c>
      <c r="Q22" s="18">
        <f t="shared" ref="Q22" ca="1" si="102">P22+ 1</f>
        <v>45023</v>
      </c>
      <c r="R22" s="12">
        <f t="shared" ref="R22" ca="1" si="103">Q22+ 1</f>
        <v>45024</v>
      </c>
    </row>
    <row r="23" spans="2:18" x14ac:dyDescent="0.25">
      <c r="B23" s="2" t="str" cm="1">
        <f t="array" aca="1" ref="B23" ca="1">IF(OR(DAY(C22:I22)=15), TEXT(C22, "mmm")," ")</f>
        <v xml:space="preserve"> </v>
      </c>
      <c r="C23" s="19" t="str" cm="1">
        <f t="array" aca="1" ref="C23" ca="1">IFERROR(INDEX(Holiday_names, MATCH(C22, Holidays, 0), 0), "")</f>
        <v/>
      </c>
      <c r="D23" s="20" t="str" cm="1">
        <f t="array" aca="1" ref="D23" ca="1">IFERROR(INDEX(Holiday_names, MATCH(D22, Holidays, 0), 0), "")</f>
        <v/>
      </c>
      <c r="E23" s="21" t="str" cm="1">
        <f t="array" aca="1" ref="E23" ca="1">IFERROR(INDEX(Holiday_names, MATCH(E22, Holidays, 0), 0), "")</f>
        <v/>
      </c>
      <c r="F23" s="21" t="str" cm="1">
        <f t="array" aca="1" ref="F23" ca="1">IFERROR(INDEX(Holiday_names, MATCH(F22, Holidays, 0), 0), "")</f>
        <v/>
      </c>
      <c r="G23" s="21" t="str" cm="1">
        <f t="array" aca="1" ref="G23" ca="1">IFERROR(INDEX(Holiday_names, MATCH(G22, Holidays, 0), 0), "")</f>
        <v/>
      </c>
      <c r="H23" s="22" t="str" cm="1">
        <f t="array" aca="1" ref="H23" ca="1">IFERROR(INDEX(Holiday_names, MATCH(H22, Holidays, 0), 0), "")</f>
        <v/>
      </c>
      <c r="I23" s="19" t="str" cm="1">
        <f t="array" aca="1" ref="I23" ca="1">IFERROR(INDEX(Holiday_names, MATCH(I22, Holidays, 0), 0), "")</f>
        <v/>
      </c>
      <c r="K23" s="2" t="str" cm="1">
        <f t="array" aca="1" ref="K23" ca="1">IF(OR(DAY(L22:R22)=15), TEXT(L22, "mmm")," ")</f>
        <v xml:space="preserve"> </v>
      </c>
      <c r="L23" s="19" t="str" cm="1">
        <f t="array" aca="1" ref="L23" ca="1">_xlfn.TEXTJOIN(", ", TRUE, _xlfn.XLOOKUP(('Support Calendars'!L22 &gt;= Events[Start Date] )* ('Support Calendars'!L22 &lt;= Events[End Date]) * (ISNUMBER(SEARCH(WEEKDAY(L22),Events[Days Numbered]))) * Events[Entry],Events[Entry],Events[Event Name],"",0))</f>
        <v/>
      </c>
      <c r="M23" s="20" t="str" cm="1">
        <f t="array" aca="1" ref="M23" ca="1">_xlfn.TEXTJOIN(", ", TRUE, _xlfn.XLOOKUP(('Support Calendars'!M22 &gt;= Events[Start Date] )* ('Support Calendars'!M22 &lt;= Events[End Date]) * (ISNUMBER(SEARCH(WEEKDAY(M22),Events[Days Numbered]))) * Events[Entry],Events[Entry],Events[Event Name],"",0))</f>
        <v/>
      </c>
      <c r="N23" s="21" t="str" cm="1">
        <f t="array" aca="1" ref="N23" ca="1">_xlfn.TEXTJOIN(", ", TRUE, _xlfn.XLOOKUP(('Support Calendars'!N22 &gt;= Events[Start Date] )* ('Support Calendars'!N22 &lt;= Events[End Date]) * (ISNUMBER(SEARCH(WEEKDAY(N22),Events[Days Numbered]))) * Events[Entry],Events[Entry],Events[Event Name],"",0))</f>
        <v/>
      </c>
      <c r="O23" s="21" t="str" cm="1">
        <f t="array" aca="1" ref="O23" ca="1">_xlfn.TEXTJOIN(", ", TRUE, _xlfn.XLOOKUP(('Support Calendars'!O22 &gt;= Events[Start Date] )* ('Support Calendars'!O22 &lt;= Events[End Date]) * (ISNUMBER(SEARCH(WEEKDAY(O22),Events[Days Numbered]))) * Events[Entry],Events[Entry],Events[Event Name],"",0))</f>
        <v/>
      </c>
      <c r="P23" s="21" t="str" cm="1">
        <f t="array" aca="1" ref="P23" ca="1">_xlfn.TEXTJOIN(", ", TRUE, _xlfn.XLOOKUP(('Support Calendars'!P22 &gt;= Events[Start Date] )* ('Support Calendars'!P22 &lt;= Events[End Date]) * (ISNUMBER(SEARCH(WEEKDAY(P22),Events[Days Numbered]))) * Events[Entry],Events[Entry],Events[Event Name],"",0))</f>
        <v/>
      </c>
      <c r="Q23" s="22" t="str" cm="1">
        <f t="array" aca="1" ref="Q23" ca="1">_xlfn.TEXTJOIN(", ", TRUE, _xlfn.XLOOKUP(('Support Calendars'!Q22 &gt;= Events[Start Date] )* ('Support Calendars'!Q22 &lt;= Events[End Date]) * (ISNUMBER(SEARCH(WEEKDAY(Q22),Events[Days Numbered]))) * Events[Entry],Events[Entry],Events[Event Name],"",0))</f>
        <v/>
      </c>
      <c r="R23" s="19" t="str" cm="1">
        <f t="array" aca="1" ref="R23" ca="1">_xlfn.TEXTJOIN(", ", TRUE, _xlfn.XLOOKUP(('Support Calendars'!R22 &gt;= Events[Start Date] )* ('Support Calendars'!R22 &lt;= Events[End Date]) * (ISNUMBER(SEARCH(WEEKDAY(R22),Events[Days Numbered]))) * Events[Entry],Events[Entry],Events[Event Name],"",0))</f>
        <v/>
      </c>
    </row>
    <row r="24" spans="2:18" x14ac:dyDescent="0.25">
      <c r="B24" s="2"/>
      <c r="C24" s="12">
        <f ca="1">I22 + 1</f>
        <v>45025</v>
      </c>
      <c r="D24" s="16">
        <f ca="1">C24+ 1</f>
        <v>45026</v>
      </c>
      <c r="E24" s="17">
        <f t="shared" ref="E24:I24" ca="1" si="104">D24+ 1</f>
        <v>45027</v>
      </c>
      <c r="F24" s="17">
        <f t="shared" ca="1" si="104"/>
        <v>45028</v>
      </c>
      <c r="G24" s="17">
        <f t="shared" ca="1" si="104"/>
        <v>45029</v>
      </c>
      <c r="H24" s="18">
        <f t="shared" ca="1" si="104"/>
        <v>45030</v>
      </c>
      <c r="I24" s="12">
        <f t="shared" ca="1" si="104"/>
        <v>45031</v>
      </c>
      <c r="K24" s="2"/>
      <c r="L24" s="12">
        <f ca="1">R22 + 1</f>
        <v>45025</v>
      </c>
      <c r="M24" s="16">
        <f ca="1">L24+ 1</f>
        <v>45026</v>
      </c>
      <c r="N24" s="17">
        <f t="shared" ref="N24" ca="1" si="105">M24+ 1</f>
        <v>45027</v>
      </c>
      <c r="O24" s="17">
        <f t="shared" ref="O24" ca="1" si="106">N24+ 1</f>
        <v>45028</v>
      </c>
      <c r="P24" s="17">
        <f t="shared" ref="P24" ca="1" si="107">O24+ 1</f>
        <v>45029</v>
      </c>
      <c r="Q24" s="18">
        <f t="shared" ref="Q24" ca="1" si="108">P24+ 1</f>
        <v>45030</v>
      </c>
      <c r="R24" s="12">
        <f t="shared" ref="R24" ca="1" si="109">Q24+ 1</f>
        <v>45031</v>
      </c>
    </row>
    <row r="25" spans="2:18" x14ac:dyDescent="0.25">
      <c r="B25" s="2" t="str" cm="1">
        <f t="array" aca="1" ref="B25" ca="1">IF(OR(DAY(C24:I24)=15), TEXT(C24, "mmm")," ")</f>
        <v>Apr</v>
      </c>
      <c r="C25" s="19" t="str" cm="1">
        <f t="array" aca="1" ref="C25" ca="1">IFERROR(INDEX(Holiday_names, MATCH(C24, Holidays, 0), 0), "")</f>
        <v/>
      </c>
      <c r="D25" s="20" t="str" cm="1">
        <f t="array" aca="1" ref="D25" ca="1">IFERROR(INDEX(Holiday_names, MATCH(D24, Holidays, 0), 0), "")</f>
        <v/>
      </c>
      <c r="E25" s="21" t="str" cm="1">
        <f t="array" aca="1" ref="E25" ca="1">IFERROR(INDEX(Holiday_names, MATCH(E24, Holidays, 0), 0), "")</f>
        <v/>
      </c>
      <c r="F25" s="21" t="str" cm="1">
        <f t="array" aca="1" ref="F25" ca="1">IFERROR(INDEX(Holiday_names, MATCH(F24, Holidays, 0), 0), "")</f>
        <v/>
      </c>
      <c r="G25" s="21" t="str" cm="1">
        <f t="array" aca="1" ref="G25" ca="1">IFERROR(INDEX(Holiday_names, MATCH(G24, Holidays, 0), 0), "")</f>
        <v/>
      </c>
      <c r="H25" s="22" t="str" cm="1">
        <f t="array" aca="1" ref="H25" ca="1">IFERROR(INDEX(Holiday_names, MATCH(H24, Holidays, 0), 0), "")</f>
        <v/>
      </c>
      <c r="I25" s="19" t="str" cm="1">
        <f t="array" aca="1" ref="I25" ca="1">IFERROR(INDEX(Holiday_names, MATCH(I24, Holidays, 0), 0), "")</f>
        <v/>
      </c>
      <c r="K25" s="2" t="str" cm="1">
        <f t="array" aca="1" ref="K25" ca="1">IF(OR(DAY(L24:R24)=15), TEXT(L24, "mmm")," ")</f>
        <v>Apr</v>
      </c>
      <c r="L25" s="19" t="str" cm="1">
        <f t="array" aca="1" ref="L25" ca="1">_xlfn.TEXTJOIN(", ", TRUE, _xlfn.XLOOKUP(('Support Calendars'!L24 &gt;= Events[Start Date] )* ('Support Calendars'!L24 &lt;= Events[End Date]) * (ISNUMBER(SEARCH(WEEKDAY(L24),Events[Days Numbered]))) * Events[Entry],Events[Entry],Events[Event Name],"",0))</f>
        <v/>
      </c>
      <c r="M25" s="20" t="str" cm="1">
        <f t="array" aca="1" ref="M25" ca="1">_xlfn.TEXTJOIN(", ", TRUE, _xlfn.XLOOKUP(('Support Calendars'!M24 &gt;= Events[Start Date] )* ('Support Calendars'!M24 &lt;= Events[End Date]) * (ISNUMBER(SEARCH(WEEKDAY(M24),Events[Days Numbered]))) * Events[Entry],Events[Entry],Events[Event Name],"",0))</f>
        <v/>
      </c>
      <c r="N25" s="21" t="str" cm="1">
        <f t="array" aca="1" ref="N25" ca="1">_xlfn.TEXTJOIN(", ", TRUE, _xlfn.XLOOKUP(('Support Calendars'!N24 &gt;= Events[Start Date] )* ('Support Calendars'!N24 &lt;= Events[End Date]) * (ISNUMBER(SEARCH(WEEKDAY(N24),Events[Days Numbered]))) * Events[Entry],Events[Entry],Events[Event Name],"",0))</f>
        <v/>
      </c>
      <c r="O25" s="21" t="str" cm="1">
        <f t="array" aca="1" ref="O25" ca="1">_xlfn.TEXTJOIN(", ", TRUE, _xlfn.XLOOKUP(('Support Calendars'!O24 &gt;= Events[Start Date] )* ('Support Calendars'!O24 &lt;= Events[End Date]) * (ISNUMBER(SEARCH(WEEKDAY(O24),Events[Days Numbered]))) * Events[Entry],Events[Entry],Events[Event Name],"",0))</f>
        <v/>
      </c>
      <c r="P25" s="21" t="str" cm="1">
        <f t="array" aca="1" ref="P25" ca="1">_xlfn.TEXTJOIN(", ", TRUE, _xlfn.XLOOKUP(('Support Calendars'!P24 &gt;= Events[Start Date] )* ('Support Calendars'!P24 &lt;= Events[End Date]) * (ISNUMBER(SEARCH(WEEKDAY(P24),Events[Days Numbered]))) * Events[Entry],Events[Entry],Events[Event Name],"",0))</f>
        <v/>
      </c>
      <c r="Q25" s="22" t="str" cm="1">
        <f t="array" aca="1" ref="Q25" ca="1">_xlfn.TEXTJOIN(", ", TRUE, _xlfn.XLOOKUP(('Support Calendars'!Q24 &gt;= Events[Start Date] )* ('Support Calendars'!Q24 &lt;= Events[End Date]) * (ISNUMBER(SEARCH(WEEKDAY(Q24),Events[Days Numbered]))) * Events[Entry],Events[Entry],Events[Event Name],"",0))</f>
        <v/>
      </c>
      <c r="R25" s="19" t="str" cm="1">
        <f t="array" aca="1" ref="R25" ca="1">_xlfn.TEXTJOIN(", ", TRUE, _xlfn.XLOOKUP(('Support Calendars'!R24 &gt;= Events[Start Date] )* ('Support Calendars'!R24 &lt;= Events[End Date]) * (ISNUMBER(SEARCH(WEEKDAY(R24),Events[Days Numbered]))) * Events[Entry],Events[Entry],Events[Event Name],"",0))</f>
        <v/>
      </c>
    </row>
    <row r="26" spans="2:18" x14ac:dyDescent="0.25">
      <c r="B26" s="2"/>
      <c r="C26" s="12">
        <f ca="1">I24 + 1</f>
        <v>45032</v>
      </c>
      <c r="D26" s="16">
        <f ca="1">C26+ 1</f>
        <v>45033</v>
      </c>
      <c r="E26" s="17">
        <f t="shared" ref="E26:I26" ca="1" si="110">D26+ 1</f>
        <v>45034</v>
      </c>
      <c r="F26" s="17">
        <f t="shared" ca="1" si="110"/>
        <v>45035</v>
      </c>
      <c r="G26" s="17">
        <f t="shared" ca="1" si="110"/>
        <v>45036</v>
      </c>
      <c r="H26" s="18">
        <f t="shared" ca="1" si="110"/>
        <v>45037</v>
      </c>
      <c r="I26" s="12">
        <f t="shared" ca="1" si="110"/>
        <v>45038</v>
      </c>
      <c r="K26" s="2"/>
      <c r="L26" s="12">
        <f ca="1">R24 + 1</f>
        <v>45032</v>
      </c>
      <c r="M26" s="16">
        <f ca="1">L26+ 1</f>
        <v>45033</v>
      </c>
      <c r="N26" s="17">
        <f t="shared" ref="N26" ca="1" si="111">M26+ 1</f>
        <v>45034</v>
      </c>
      <c r="O26" s="17">
        <f t="shared" ref="O26" ca="1" si="112">N26+ 1</f>
        <v>45035</v>
      </c>
      <c r="P26" s="17">
        <f t="shared" ref="P26" ca="1" si="113">O26+ 1</f>
        <v>45036</v>
      </c>
      <c r="Q26" s="18">
        <f t="shared" ref="Q26" ca="1" si="114">P26+ 1</f>
        <v>45037</v>
      </c>
      <c r="R26" s="12">
        <f t="shared" ref="R26" ca="1" si="115">Q26+ 1</f>
        <v>45038</v>
      </c>
    </row>
    <row r="27" spans="2:18" x14ac:dyDescent="0.25">
      <c r="B27" s="2" t="str" cm="1">
        <f t="array" aca="1" ref="B27" ca="1">IF(OR(DAY(C26:I26)=15), TEXT(C26, "mmm")," ")</f>
        <v xml:space="preserve"> </v>
      </c>
      <c r="C27" s="19" t="str" cm="1">
        <f t="array" aca="1" ref="C27" ca="1">IFERROR(INDEX(Holiday_names, MATCH(C26, Holidays, 0), 0), "")</f>
        <v/>
      </c>
      <c r="D27" s="20" t="str" cm="1">
        <f t="array" aca="1" ref="D27" ca="1">IFERROR(INDEX(Holiday_names, MATCH(D26, Holidays, 0), 0), "")</f>
        <v/>
      </c>
      <c r="E27" s="21" t="str" cm="1">
        <f t="array" aca="1" ref="E27" ca="1">IFERROR(INDEX(Holiday_names, MATCH(E26, Holidays, 0), 0), "")</f>
        <v/>
      </c>
      <c r="F27" s="21" t="str" cm="1">
        <f t="array" aca="1" ref="F27" ca="1">IFERROR(INDEX(Holiday_names, MATCH(F26, Holidays, 0), 0), "")</f>
        <v/>
      </c>
      <c r="G27" s="21" t="str" cm="1">
        <f t="array" aca="1" ref="G27" ca="1">IFERROR(INDEX(Holiday_names, MATCH(G26, Holidays, 0), 0), "")</f>
        <v/>
      </c>
      <c r="H27" s="22" t="str" cm="1">
        <f t="array" aca="1" ref="H27" ca="1">IFERROR(INDEX(Holiday_names, MATCH(H26, Holidays, 0), 0), "")</f>
        <v/>
      </c>
      <c r="I27" s="19" t="str" cm="1">
        <f t="array" aca="1" ref="I27" ca="1">IFERROR(INDEX(Holiday_names, MATCH(I26, Holidays, 0), 0), "")</f>
        <v/>
      </c>
      <c r="K27" s="2" t="str" cm="1">
        <f t="array" aca="1" ref="K27" ca="1">IF(OR(DAY(L26:R26)=15), TEXT(L26, "mmm")," ")</f>
        <v xml:space="preserve"> </v>
      </c>
      <c r="L27" s="19" t="str" cm="1">
        <f t="array" aca="1" ref="L27" ca="1">_xlfn.TEXTJOIN(", ", TRUE, _xlfn.XLOOKUP(('Support Calendars'!L26 &gt;= Events[Start Date] )* ('Support Calendars'!L26 &lt;= Events[End Date]) * (ISNUMBER(SEARCH(WEEKDAY(L26),Events[Days Numbered]))) * Events[Entry],Events[Entry],Events[Event Name],"",0))</f>
        <v/>
      </c>
      <c r="M27" s="20" t="str" cm="1">
        <f t="array" aca="1" ref="M27" ca="1">_xlfn.TEXTJOIN(", ", TRUE, _xlfn.XLOOKUP(('Support Calendars'!M26 &gt;= Events[Start Date] )* ('Support Calendars'!M26 &lt;= Events[End Date]) * (ISNUMBER(SEARCH(WEEKDAY(M26),Events[Days Numbered]))) * Events[Entry],Events[Entry],Events[Event Name],"",0))</f>
        <v/>
      </c>
      <c r="N27" s="21" t="str" cm="1">
        <f t="array" aca="1" ref="N27" ca="1">_xlfn.TEXTJOIN(", ", TRUE, _xlfn.XLOOKUP(('Support Calendars'!N26 &gt;= Events[Start Date] )* ('Support Calendars'!N26 &lt;= Events[End Date]) * (ISNUMBER(SEARCH(WEEKDAY(N26),Events[Days Numbered]))) * Events[Entry],Events[Entry],Events[Event Name],"",0))</f>
        <v/>
      </c>
      <c r="O27" s="21" t="str" cm="1">
        <f t="array" aca="1" ref="O27" ca="1">_xlfn.TEXTJOIN(", ", TRUE, _xlfn.XLOOKUP(('Support Calendars'!O26 &gt;= Events[Start Date] )* ('Support Calendars'!O26 &lt;= Events[End Date]) * (ISNUMBER(SEARCH(WEEKDAY(O26),Events[Days Numbered]))) * Events[Entry],Events[Entry],Events[Event Name],"",0))</f>
        <v/>
      </c>
      <c r="P27" s="21" t="str" cm="1">
        <f t="array" aca="1" ref="P27" ca="1">_xlfn.TEXTJOIN(", ", TRUE, _xlfn.XLOOKUP(('Support Calendars'!P26 &gt;= Events[Start Date] )* ('Support Calendars'!P26 &lt;= Events[End Date]) * (ISNUMBER(SEARCH(WEEKDAY(P26),Events[Days Numbered]))) * Events[Entry],Events[Entry],Events[Event Name],"",0))</f>
        <v/>
      </c>
      <c r="Q27" s="22" t="str" cm="1">
        <f t="array" aca="1" ref="Q27" ca="1">_xlfn.TEXTJOIN(", ", TRUE, _xlfn.XLOOKUP(('Support Calendars'!Q26 &gt;= Events[Start Date] )* ('Support Calendars'!Q26 &lt;= Events[End Date]) * (ISNUMBER(SEARCH(WEEKDAY(Q26),Events[Days Numbered]))) * Events[Entry],Events[Entry],Events[Event Name],"",0))</f>
        <v/>
      </c>
      <c r="R27" s="19" t="str" cm="1">
        <f t="array" aca="1" ref="R27" ca="1">_xlfn.TEXTJOIN(", ", TRUE, _xlfn.XLOOKUP(('Support Calendars'!R26 &gt;= Events[Start Date] )* ('Support Calendars'!R26 &lt;= Events[End Date]) * (ISNUMBER(SEARCH(WEEKDAY(R26),Events[Days Numbered]))) * Events[Entry],Events[Entry],Events[Event Name],"",0))</f>
        <v/>
      </c>
    </row>
    <row r="28" spans="2:18" x14ac:dyDescent="0.25">
      <c r="B28" s="2"/>
      <c r="C28" s="12">
        <f ca="1">I26 + 1</f>
        <v>45039</v>
      </c>
      <c r="D28" s="16">
        <f ca="1">C28+ 1</f>
        <v>45040</v>
      </c>
      <c r="E28" s="17">
        <f t="shared" ref="E28:I28" ca="1" si="116">D28+ 1</f>
        <v>45041</v>
      </c>
      <c r="F28" s="17">
        <f t="shared" ca="1" si="116"/>
        <v>45042</v>
      </c>
      <c r="G28" s="17">
        <f t="shared" ca="1" si="116"/>
        <v>45043</v>
      </c>
      <c r="H28" s="18">
        <f t="shared" ca="1" si="116"/>
        <v>45044</v>
      </c>
      <c r="I28" s="12">
        <f t="shared" ca="1" si="116"/>
        <v>45045</v>
      </c>
      <c r="K28" s="2"/>
      <c r="L28" s="12">
        <f ca="1">R26 + 1</f>
        <v>45039</v>
      </c>
      <c r="M28" s="16">
        <f ca="1">L28+ 1</f>
        <v>45040</v>
      </c>
      <c r="N28" s="17">
        <f t="shared" ref="N28" ca="1" si="117">M28+ 1</f>
        <v>45041</v>
      </c>
      <c r="O28" s="17">
        <f t="shared" ref="O28" ca="1" si="118">N28+ 1</f>
        <v>45042</v>
      </c>
      <c r="P28" s="17">
        <f t="shared" ref="P28" ca="1" si="119">O28+ 1</f>
        <v>45043</v>
      </c>
      <c r="Q28" s="18">
        <f t="shared" ref="Q28" ca="1" si="120">P28+ 1</f>
        <v>45044</v>
      </c>
      <c r="R28" s="12">
        <f t="shared" ref="R28" ca="1" si="121">Q28+ 1</f>
        <v>45045</v>
      </c>
    </row>
    <row r="29" spans="2:18" x14ac:dyDescent="0.25">
      <c r="B29" s="2" t="str" cm="1">
        <f t="array" aca="1" ref="B29" ca="1">IF(OR(DAY(C28:I28)=15), TEXT(C28, "mmm")," ")</f>
        <v xml:space="preserve"> </v>
      </c>
      <c r="C29" s="19" t="str" cm="1">
        <f t="array" aca="1" ref="C29" ca="1">IFERROR(INDEX(Holiday_names, MATCH(C28, Holidays, 0), 0), "")</f>
        <v/>
      </c>
      <c r="D29" s="20" t="str" cm="1">
        <f t="array" aca="1" ref="D29" ca="1">IFERROR(INDEX(Holiday_names, MATCH(D28, Holidays, 0), 0), "")</f>
        <v/>
      </c>
      <c r="E29" s="21" t="str" cm="1">
        <f t="array" aca="1" ref="E29" ca="1">IFERROR(INDEX(Holiday_names, MATCH(E28, Holidays, 0), 0), "")</f>
        <v/>
      </c>
      <c r="F29" s="21" t="str" cm="1">
        <f t="array" aca="1" ref="F29" ca="1">IFERROR(INDEX(Holiday_names, MATCH(F28, Holidays, 0), 0), "")</f>
        <v/>
      </c>
      <c r="G29" s="21" t="str" cm="1">
        <f t="array" aca="1" ref="G29" ca="1">IFERROR(INDEX(Holiday_names, MATCH(G28, Holidays, 0), 0), "")</f>
        <v/>
      </c>
      <c r="H29" s="22" t="str" cm="1">
        <f t="array" aca="1" ref="H29" ca="1">IFERROR(INDEX(Holiday_names, MATCH(H28, Holidays, 0), 0), "")</f>
        <v/>
      </c>
      <c r="I29" s="19" t="str" cm="1">
        <f t="array" aca="1" ref="I29" ca="1">IFERROR(INDEX(Holiday_names, MATCH(I28, Holidays, 0), 0), "")</f>
        <v/>
      </c>
      <c r="K29" s="2" t="str" cm="1">
        <f t="array" aca="1" ref="K29" ca="1">IF(OR(DAY(L28:R28)=15), TEXT(L28, "mmm")," ")</f>
        <v xml:space="preserve"> </v>
      </c>
      <c r="L29" s="19" t="str" cm="1">
        <f t="array" aca="1" ref="L29" ca="1">_xlfn.TEXTJOIN(", ", TRUE, _xlfn.XLOOKUP(('Support Calendars'!L28 &gt;= Events[Start Date] )* ('Support Calendars'!L28 &lt;= Events[End Date]) * (ISNUMBER(SEARCH(WEEKDAY(L28),Events[Days Numbered]))) * Events[Entry],Events[Entry],Events[Event Name],"",0))</f>
        <v/>
      </c>
      <c r="M29" s="20" t="str" cm="1">
        <f t="array" aca="1" ref="M29" ca="1">_xlfn.TEXTJOIN(", ", TRUE, _xlfn.XLOOKUP(('Support Calendars'!M28 &gt;= Events[Start Date] )* ('Support Calendars'!M28 &lt;= Events[End Date]) * (ISNUMBER(SEARCH(WEEKDAY(M28),Events[Days Numbered]))) * Events[Entry],Events[Entry],Events[Event Name],"",0))</f>
        <v/>
      </c>
      <c r="N29" s="21" t="str" cm="1">
        <f t="array" aca="1" ref="N29" ca="1">_xlfn.TEXTJOIN(", ", TRUE, _xlfn.XLOOKUP(('Support Calendars'!N28 &gt;= Events[Start Date] )* ('Support Calendars'!N28 &lt;= Events[End Date]) * (ISNUMBER(SEARCH(WEEKDAY(N28),Events[Days Numbered]))) * Events[Entry],Events[Entry],Events[Event Name],"",0))</f>
        <v/>
      </c>
      <c r="O29" s="21" t="str" cm="1">
        <f t="array" aca="1" ref="O29" ca="1">_xlfn.TEXTJOIN(", ", TRUE, _xlfn.XLOOKUP(('Support Calendars'!O28 &gt;= Events[Start Date] )* ('Support Calendars'!O28 &lt;= Events[End Date]) * (ISNUMBER(SEARCH(WEEKDAY(O28),Events[Days Numbered]))) * Events[Entry],Events[Entry],Events[Event Name],"",0))</f>
        <v/>
      </c>
      <c r="P29" s="21" t="str" cm="1">
        <f t="array" aca="1" ref="P29" ca="1">_xlfn.TEXTJOIN(", ", TRUE, _xlfn.XLOOKUP(('Support Calendars'!P28 &gt;= Events[Start Date] )* ('Support Calendars'!P28 &lt;= Events[End Date]) * (ISNUMBER(SEARCH(WEEKDAY(P28),Events[Days Numbered]))) * Events[Entry],Events[Entry],Events[Event Name],"",0))</f>
        <v/>
      </c>
      <c r="Q29" s="22" t="str" cm="1">
        <f t="array" aca="1" ref="Q29" ca="1">_xlfn.TEXTJOIN(", ", TRUE, _xlfn.XLOOKUP(('Support Calendars'!Q28 &gt;= Events[Start Date] )* ('Support Calendars'!Q28 &lt;= Events[End Date]) * (ISNUMBER(SEARCH(WEEKDAY(Q28),Events[Days Numbered]))) * Events[Entry],Events[Entry],Events[Event Name],"",0))</f>
        <v/>
      </c>
      <c r="R29" s="19" t="str" cm="1">
        <f t="array" aca="1" ref="R29" ca="1">_xlfn.TEXTJOIN(", ", TRUE, _xlfn.XLOOKUP(('Support Calendars'!R28 &gt;= Events[Start Date] )* ('Support Calendars'!R28 &lt;= Events[End Date]) * (ISNUMBER(SEARCH(WEEKDAY(R28),Events[Days Numbered]))) * Events[Entry],Events[Entry],Events[Event Name],"",0))</f>
        <v/>
      </c>
    </row>
    <row r="30" spans="2:18" x14ac:dyDescent="0.25">
      <c r="B30" s="2"/>
      <c r="C30" s="12">
        <f ca="1">I28 + 1</f>
        <v>45046</v>
      </c>
      <c r="D30" s="16">
        <f ca="1">C30+ 1</f>
        <v>45047</v>
      </c>
      <c r="E30" s="17">
        <f t="shared" ref="E30:I30" ca="1" si="122">D30+ 1</f>
        <v>45048</v>
      </c>
      <c r="F30" s="17">
        <f t="shared" ca="1" si="122"/>
        <v>45049</v>
      </c>
      <c r="G30" s="17">
        <f t="shared" ca="1" si="122"/>
        <v>45050</v>
      </c>
      <c r="H30" s="18">
        <f t="shared" ca="1" si="122"/>
        <v>45051</v>
      </c>
      <c r="I30" s="12">
        <f t="shared" ca="1" si="122"/>
        <v>45052</v>
      </c>
      <c r="K30" s="2"/>
      <c r="L30" s="12">
        <f ca="1">R28 + 1</f>
        <v>45046</v>
      </c>
      <c r="M30" s="16">
        <f ca="1">L30+ 1</f>
        <v>45047</v>
      </c>
      <c r="N30" s="17">
        <f t="shared" ref="N30" ca="1" si="123">M30+ 1</f>
        <v>45048</v>
      </c>
      <c r="O30" s="17">
        <f t="shared" ref="O30" ca="1" si="124">N30+ 1</f>
        <v>45049</v>
      </c>
      <c r="P30" s="17">
        <f t="shared" ref="P30" ca="1" si="125">O30+ 1</f>
        <v>45050</v>
      </c>
      <c r="Q30" s="18">
        <f t="shared" ref="Q30" ca="1" si="126">P30+ 1</f>
        <v>45051</v>
      </c>
      <c r="R30" s="12">
        <f t="shared" ref="R30" ca="1" si="127">Q30+ 1</f>
        <v>45052</v>
      </c>
    </row>
    <row r="31" spans="2:18" x14ac:dyDescent="0.25">
      <c r="B31" s="10" t="str" cm="1">
        <f t="array" aca="1" ref="B31" ca="1">IF(OR((DAY(C30:I30)=15), MONTH(C30)&lt;&gt;MONTH(C28)), TEXT(C30, "mmm")," ")</f>
        <v xml:space="preserve"> </v>
      </c>
      <c r="C31" s="23" t="str" cm="1">
        <f t="array" aca="1" ref="C31" ca="1">IFERROR(INDEX(Holiday_names, MATCH(C30, Holidays, 0), 0), "")</f>
        <v/>
      </c>
      <c r="D31" s="24" t="str" cm="1">
        <f t="array" aca="1" ref="D31" ca="1">IFERROR(INDEX(Holiday_names, MATCH(D30, Holidays, 0), 0), "")</f>
        <v/>
      </c>
      <c r="E31" s="25" t="str" cm="1">
        <f t="array" aca="1" ref="E31" ca="1">IFERROR(INDEX(Holiday_names, MATCH(E30, Holidays, 0), 0), "")</f>
        <v/>
      </c>
      <c r="F31" s="25" t="str" cm="1">
        <f t="array" aca="1" ref="F31" ca="1">IFERROR(INDEX(Holiday_names, MATCH(F30, Holidays, 0), 0), "")</f>
        <v/>
      </c>
      <c r="G31" s="25" t="str" cm="1">
        <f t="array" aca="1" ref="G31" ca="1">IFERROR(INDEX(Holiday_names, MATCH(G30, Holidays, 0), 0), "")</f>
        <v/>
      </c>
      <c r="H31" s="26" t="str" cm="1">
        <f t="array" aca="1" ref="H31" ca="1">IFERROR(INDEX(Holiday_names, MATCH(H30, Holidays, 0), 0), "")</f>
        <v/>
      </c>
      <c r="I31" s="23" t="str" cm="1">
        <f t="array" aca="1" ref="I31" ca="1">IFERROR(INDEX(Holiday_names, MATCH(I30, Holidays, 0), 0), "")</f>
        <v/>
      </c>
      <c r="K31" s="10" t="str" cm="1">
        <f t="array" aca="1" ref="K31" ca="1">IF(OR((DAY(L30:R30)=15), MONTH(L30)&lt;&gt;MONTH(L28)), TEXT(L30, "mmm")," ")</f>
        <v xml:space="preserve"> </v>
      </c>
      <c r="L31" s="19" t="str" cm="1">
        <f t="array" aca="1" ref="L31" ca="1">_xlfn.TEXTJOIN(", ", TRUE, _xlfn.XLOOKUP(('Support Calendars'!L30 &gt;= Events[Start Date] )* ('Support Calendars'!L30 &lt;= Events[End Date]) * (ISNUMBER(SEARCH(WEEKDAY(L30),Events[Days Numbered]))) * Events[Entry],Events[Entry],Events[Event Name],"",0))</f>
        <v/>
      </c>
      <c r="M31" s="20" t="str" cm="1">
        <f t="array" aca="1" ref="M31" ca="1">_xlfn.TEXTJOIN(", ", TRUE, _xlfn.XLOOKUP(('Support Calendars'!M30 &gt;= Events[Start Date] )* ('Support Calendars'!M30 &lt;= Events[End Date]) * (ISNUMBER(SEARCH(WEEKDAY(M30),Events[Days Numbered]))) * Events[Entry],Events[Entry],Events[Event Name],"",0))</f>
        <v/>
      </c>
      <c r="N31" s="21" t="str" cm="1">
        <f t="array" aca="1" ref="N31" ca="1">_xlfn.TEXTJOIN(", ", TRUE, _xlfn.XLOOKUP(('Support Calendars'!N30 &gt;= Events[Start Date] )* ('Support Calendars'!N30 &lt;= Events[End Date]) * (ISNUMBER(SEARCH(WEEKDAY(N30),Events[Days Numbered]))) * Events[Entry],Events[Entry],Events[Event Name],"",0))</f>
        <v/>
      </c>
      <c r="O31" s="21" t="str" cm="1">
        <f t="array" aca="1" ref="O31" ca="1">_xlfn.TEXTJOIN(", ", TRUE, _xlfn.XLOOKUP(('Support Calendars'!O30 &gt;= Events[Start Date] )* ('Support Calendars'!O30 &lt;= Events[End Date]) * (ISNUMBER(SEARCH(WEEKDAY(O30),Events[Days Numbered]))) * Events[Entry],Events[Entry],Events[Event Name],"",0))</f>
        <v/>
      </c>
      <c r="P31" s="21" t="str" cm="1">
        <f t="array" aca="1" ref="P31" ca="1">_xlfn.TEXTJOIN(", ", TRUE, _xlfn.XLOOKUP(('Support Calendars'!P30 &gt;= Events[Start Date] )* ('Support Calendars'!P30 &lt;= Events[End Date]) * (ISNUMBER(SEARCH(WEEKDAY(P30),Events[Days Numbered]))) * Events[Entry],Events[Entry],Events[Event Name],"",0))</f>
        <v/>
      </c>
      <c r="Q31" s="22" t="str" cm="1">
        <f t="array" aca="1" ref="Q31" ca="1">_xlfn.TEXTJOIN(", ", TRUE, _xlfn.XLOOKUP(('Support Calendars'!Q30 &gt;= Events[Start Date] )* ('Support Calendars'!Q30 &lt;= Events[End Date]) * (ISNUMBER(SEARCH(WEEKDAY(Q30),Events[Days Numbered]))) * Events[Entry],Events[Entry],Events[Event Name],"",0))</f>
        <v/>
      </c>
      <c r="R31" s="19" t="str" cm="1">
        <f t="array" aca="1" ref="R31" ca="1">_xlfn.TEXTJOIN(", ", TRUE, _xlfn.XLOOKUP(('Support Calendars'!R30 &gt;= Events[Start Date] )* ('Support Calendars'!R30 &lt;= Events[End Date]) * (ISNUMBER(SEARCH(WEEKDAY(R30),Events[Days Numbered]))) * Events[Entry],Events[Entry],Events[Event Name],"",0))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Print</vt:lpstr>
      <vt:lpstr>Calendar</vt:lpstr>
      <vt:lpstr>Events</vt:lpstr>
      <vt:lpstr>Support Calendars</vt:lpstr>
      <vt:lpstr>event_name</vt:lpstr>
      <vt:lpstr>Month</vt:lpstr>
      <vt:lpstr>Month_Num</vt:lpstr>
      <vt:lpstr>New_Event</vt:lpstr>
      <vt:lpstr>Print!Print_Area</vt:lpstr>
      <vt:lpstr>print_month</vt:lpstr>
      <vt:lpstr>print_type</vt:lpstr>
      <vt:lpstr>print_year</vt:lpstr>
      <vt:lpstr>start_date</vt:lpstr>
      <vt:lpstr>Year</vt:lpstr>
      <vt:lpstr>Yearly_Events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Pope</dc:creator>
  <cp:lastModifiedBy>Spencer Pope</cp:lastModifiedBy>
  <cp:lastPrinted>2023-01-06T18:22:15Z</cp:lastPrinted>
  <dcterms:created xsi:type="dcterms:W3CDTF">2022-03-14T19:55:29Z</dcterms:created>
  <dcterms:modified xsi:type="dcterms:W3CDTF">2023-02-14T20:17:23Z</dcterms:modified>
</cp:coreProperties>
</file>